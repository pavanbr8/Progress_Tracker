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ocuments\Teaching Resources\Analytix Labs Curriculum\Excel\Week 1\"/>
    </mc:Choice>
  </mc:AlternateContent>
  <xr:revisionPtr revIDLastSave="0" documentId="13_ncr:1_{F0AF8673-B37B-46BD-832D-541C0EA5DACA}" xr6:coauthVersionLast="47" xr6:coauthVersionMax="47" xr10:uidLastSave="{00000000-0000-0000-0000-000000000000}"/>
  <bookViews>
    <workbookView xWindow="-98" yWindow="-98" windowWidth="26116" windowHeight="15675" activeTab="2" xr2:uid="{8691B555-4261-6F4A-BBD4-4407515A4FB5}"/>
  </bookViews>
  <sheets>
    <sheet name="Visualization" sheetId="2" state="hidden" r:id="rId1"/>
    <sheet name="Progress Summary" sheetId="14" r:id="rId2"/>
    <sheet name="Progress Dashboard" sheetId="19" r:id="rId3"/>
    <sheet name="Goals Data" sheetId="16" r:id="rId4"/>
    <sheet name="Excel Syllabus Data" sheetId="17" r:id="rId5"/>
    <sheet name="Study Hours Data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3" l="1"/>
  <c r="C9" i="13"/>
  <c r="C10" i="13"/>
  <c r="C31" i="14"/>
  <c r="C28" i="14"/>
  <c r="C25" i="14"/>
  <c r="C22" i="14"/>
  <c r="C21" i="14"/>
  <c r="C16" i="14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18" i="13"/>
  <c r="E5" i="13"/>
  <c r="E9" i="13"/>
  <c r="E13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E17" i="13" s="1"/>
  <c r="D16" i="13"/>
  <c r="E16" i="13" s="1"/>
  <c r="D15" i="13"/>
  <c r="E15" i="13" s="1"/>
  <c r="D14" i="13"/>
  <c r="E14" i="13" s="1"/>
  <c r="D13" i="13"/>
  <c r="D12" i="13"/>
  <c r="E12" i="13" s="1"/>
  <c r="D11" i="13"/>
  <c r="E11" i="13" s="1"/>
  <c r="D10" i="13"/>
  <c r="D9" i="13"/>
  <c r="D8" i="13"/>
  <c r="E8" i="13" s="1"/>
  <c r="D7" i="13"/>
  <c r="E7" i="13" s="1"/>
  <c r="D6" i="13"/>
  <c r="E6" i="13" s="1"/>
  <c r="D5" i="13"/>
  <c r="D4" i="13"/>
  <c r="E4" i="13" s="1"/>
  <c r="D3" i="13"/>
  <c r="E3" i="13" s="1"/>
  <c r="D2" i="13"/>
  <c r="E2" i="13" s="1"/>
  <c r="E114" i="17"/>
  <c r="E113" i="17"/>
  <c r="E112" i="17"/>
  <c r="E111" i="17"/>
  <c r="E110" i="17"/>
  <c r="E109" i="17"/>
  <c r="E108" i="17"/>
  <c r="E107" i="17"/>
  <c r="E106" i="17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72" i="17"/>
  <c r="E71" i="17"/>
  <c r="E70" i="17"/>
  <c r="E69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C17" i="14" l="1"/>
  <c r="C15" i="14"/>
  <c r="C30" i="14"/>
  <c r="C29" i="14"/>
  <c r="C27" i="14"/>
  <c r="C26" i="14"/>
  <c r="C24" i="14"/>
  <c r="C23" i="14"/>
  <c r="F59" i="13" l="1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C4" i="14" l="1"/>
  <c r="C3" i="14"/>
  <c r="C3" i="13"/>
  <c r="C4" i="13"/>
  <c r="C5" i="13"/>
  <c r="C6" i="13"/>
  <c r="C7" i="13"/>
  <c r="C8" i="13"/>
  <c r="C2" i="13"/>
  <c r="C40" i="14" l="1"/>
  <c r="C36" i="14"/>
  <c r="C5" i="14"/>
  <c r="B35" i="14"/>
  <c r="C41" i="14"/>
  <c r="C39" i="14"/>
  <c r="B36" i="14"/>
  <c r="C38" i="14"/>
  <c r="C37" i="14"/>
  <c r="B41" i="14"/>
  <c r="C35" i="14"/>
  <c r="B40" i="14"/>
  <c r="B39" i="14"/>
  <c r="B37" i="14"/>
  <c r="B38" i="14"/>
  <c r="D40" i="14" l="1"/>
  <c r="D36" i="14"/>
  <c r="D35" i="14"/>
  <c r="D39" i="14"/>
  <c r="D41" i="14"/>
  <c r="D38" i="14"/>
  <c r="D37" i="14"/>
  <c r="C20" i="14" l="1"/>
  <c r="B4" i="16"/>
  <c r="B5" i="16" s="1"/>
  <c r="C8" i="14" l="1"/>
  <c r="C6" i="14"/>
  <c r="C7" i="14" s="1"/>
  <c r="C11" i="14" l="1"/>
  <c r="C10" i="14"/>
  <c r="B12" i="14" s="1" a="1"/>
  <c r="B12" i="14" s="1"/>
  <c r="C9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<sst xmlns="http://schemas.openxmlformats.org/spreadsheetml/2006/main" count="243" uniqueCount="202">
  <si>
    <t>Date</t>
  </si>
  <si>
    <t>Litre</t>
  </si>
  <si>
    <t>Hours</t>
  </si>
  <si>
    <t>Overall</t>
  </si>
  <si>
    <t>Current</t>
  </si>
  <si>
    <t>Available Days</t>
  </si>
  <si>
    <t>Total Hours</t>
  </si>
  <si>
    <t>Target</t>
  </si>
  <si>
    <t>Study Goal</t>
  </si>
  <si>
    <t>Category</t>
  </si>
  <si>
    <t>Topic</t>
  </si>
  <si>
    <t>Concepts</t>
  </si>
  <si>
    <t>Intro to Excel</t>
  </si>
  <si>
    <t>Workbook, worksheets, rows, columns, cells, and ranges</t>
  </si>
  <si>
    <t>Commonly used shortcut keys</t>
  </si>
  <si>
    <t>Data Gathering</t>
  </si>
  <si>
    <t>Structured Data</t>
  </si>
  <si>
    <t>What is structured data?</t>
  </si>
  <si>
    <t>Importing Data</t>
  </si>
  <si>
    <t>Using Get data feature</t>
  </si>
  <si>
    <t>Handling JSON</t>
  </si>
  <si>
    <t>Data Types</t>
  </si>
  <si>
    <t>Data Validation</t>
  </si>
  <si>
    <t>Restricting data entries for data correctness</t>
  </si>
  <si>
    <t>Custom data validations</t>
  </si>
  <si>
    <t>Remove Duplicates (Dealing with Duplicates)</t>
  </si>
  <si>
    <t>Transpose</t>
  </si>
  <si>
    <t>Text to Columns</t>
  </si>
  <si>
    <t>Data Preparation</t>
  </si>
  <si>
    <t>Formatting</t>
  </si>
  <si>
    <t>What is formatting?</t>
  </si>
  <si>
    <t>Various formatting options (Text Font, Text Alignment etc..)</t>
  </si>
  <si>
    <t>Number formatting</t>
  </si>
  <si>
    <t>Custom number formats</t>
  </si>
  <si>
    <t>Date &amp; Time Formatting</t>
  </si>
  <si>
    <t>Custom Date &amp; Time formats</t>
  </si>
  <si>
    <t>Conditional Formatting</t>
  </si>
  <si>
    <t>Basic conditional formatting options</t>
  </si>
  <si>
    <t>Custom conditional formatting</t>
  </si>
  <si>
    <t>Paste Special</t>
  </si>
  <si>
    <t>Copy-paste-paste special</t>
  </si>
  <si>
    <t>Sort and Filter</t>
  </si>
  <si>
    <t>Quick sort</t>
  </si>
  <si>
    <t>Custom sort</t>
  </si>
  <si>
    <t>Filters</t>
  </si>
  <si>
    <t>Named Range - Overview</t>
  </si>
  <si>
    <t>Static named range</t>
  </si>
  <si>
    <t>Dynamic named ranges using OFFSET and COUNTA</t>
  </si>
  <si>
    <t>Cell References</t>
  </si>
  <si>
    <t>Relative</t>
  </si>
  <si>
    <t>Absolute</t>
  </si>
  <si>
    <t>Text / string functions</t>
  </si>
  <si>
    <t>LEFT</t>
  </si>
  <si>
    <t>RIGHT</t>
  </si>
  <si>
    <t>MID</t>
  </si>
  <si>
    <t>CONCATENATE</t>
  </si>
  <si>
    <t>TRIM</t>
  </si>
  <si>
    <t>SUBSTITUTE</t>
  </si>
  <si>
    <t>VALUE</t>
  </si>
  <si>
    <t>TEXT</t>
  </si>
  <si>
    <t>Data Analysis</t>
  </si>
  <si>
    <t>Logical functions</t>
  </si>
  <si>
    <t>IF</t>
  </si>
  <si>
    <t>AND, OR</t>
  </si>
  <si>
    <t>NOT</t>
  </si>
  <si>
    <t>IFERROR</t>
  </si>
  <si>
    <t>IFNA</t>
  </si>
  <si>
    <t>Math  functions</t>
  </si>
  <si>
    <t>SUM</t>
  </si>
  <si>
    <t>SUMIF, SUMIFS  (conditional sum)</t>
  </si>
  <si>
    <t>SUMPRODUCT</t>
  </si>
  <si>
    <t>ROUND</t>
  </si>
  <si>
    <t>MOD</t>
  </si>
  <si>
    <t>Statistical functions</t>
  </si>
  <si>
    <t>AVERAGE</t>
  </si>
  <si>
    <t>MIN</t>
  </si>
  <si>
    <t>MAX</t>
  </si>
  <si>
    <t>Counting functions</t>
  </si>
  <si>
    <t>COUNT</t>
  </si>
  <si>
    <t>COUNTA</t>
  </si>
  <si>
    <t>COUNTBLANK</t>
  </si>
  <si>
    <t>COUNTIF</t>
  </si>
  <si>
    <t>COUNTIFS</t>
  </si>
  <si>
    <t>Lookup and reference functions</t>
  </si>
  <si>
    <t>INDEX &amp; MATCH</t>
  </si>
  <si>
    <t>INDIRECT</t>
  </si>
  <si>
    <t>OFFSET</t>
  </si>
  <si>
    <t>TRANSPOSE</t>
  </si>
  <si>
    <t>HYPERLINK</t>
  </si>
  <si>
    <t>Date functions</t>
  </si>
  <si>
    <t>DATE</t>
  </si>
  <si>
    <t>DATEVALUE</t>
  </si>
  <si>
    <t>TODAY</t>
  </si>
  <si>
    <t>NOW</t>
  </si>
  <si>
    <t>DAY</t>
  </si>
  <si>
    <t>MONTH</t>
  </si>
  <si>
    <t>YEAR</t>
  </si>
  <si>
    <t>WEEKDAY</t>
  </si>
  <si>
    <t>WEEKNUM</t>
  </si>
  <si>
    <t>EOMONTH</t>
  </si>
  <si>
    <t>DATEDIF</t>
  </si>
  <si>
    <t>Time functions</t>
  </si>
  <si>
    <t>Convert time to hours, minutes &amp; seconds</t>
  </si>
  <si>
    <t>Split date &amp; time to separate columns</t>
  </si>
  <si>
    <t>Convert text to time</t>
  </si>
  <si>
    <t>Convert time to text</t>
  </si>
  <si>
    <t>Pivot tables</t>
  </si>
  <si>
    <t>Introduction to Pivot tables, use and applications</t>
  </si>
  <si>
    <t>Data Analysis using Pivot Tables - use of row and column shelf, values and filters</t>
  </si>
  <si>
    <t>Difference between data layering and cross tabulation, summary reports, advantages and limitations</t>
  </si>
  <si>
    <t>Bins and Grouping and Ungrouping the data</t>
  </si>
  <si>
    <t>Creating data reports using pivot tables</t>
  </si>
  <si>
    <t>Change aggregation types and summarization</t>
  </si>
  <si>
    <t>Concept of calculated fields, usage and limitations</t>
  </si>
  <si>
    <t>Configuring Pivot Table Layouts &amp; Styles – Grand totals and subtotals, report layouts, etc.</t>
  </si>
  <si>
    <t xml:space="preserve">Power Pivot - Power Query </t>
  </si>
  <si>
    <t>Data Visualization &amp; Summary</t>
  </si>
  <si>
    <t>Basic Charts</t>
  </si>
  <si>
    <t>Basic Charts - Column/Bar, Stacked, Pie, line/area, scatterplot, doughnut etc.</t>
  </si>
  <si>
    <t>Chart properties</t>
  </si>
  <si>
    <t xml:space="preserve">How to select right chart for your data
</t>
  </si>
  <si>
    <t>Pivot tables - Charts</t>
  </si>
  <si>
    <t>Customized Charts</t>
  </si>
  <si>
    <t>Population Pyramid</t>
  </si>
  <si>
    <t>Waterfall Chart</t>
  </si>
  <si>
    <t>Dynamic Dashboards using pivot tables</t>
  </si>
  <si>
    <t>Pivot cache</t>
  </si>
  <si>
    <t>Pivot table design elements - concept of slicers and timelines - Slicer Options</t>
  </si>
  <si>
    <t>Sales dashboard using pivot options</t>
  </si>
  <si>
    <t>Making Dashboards Dynamic</t>
  </si>
  <si>
    <t>Making Dashboards more beautiful - Adding icons and images to dashboards</t>
  </si>
  <si>
    <t>Design principles for including charts in dashboards - do's and dont's</t>
  </si>
  <si>
    <t>Best practices - Tips and Tricks to enhance dashboard designing</t>
  </si>
  <si>
    <t>Coverage</t>
  </si>
  <si>
    <t>Low</t>
  </si>
  <si>
    <t>Medium</t>
  </si>
  <si>
    <t>High</t>
  </si>
  <si>
    <t>Skilled</t>
  </si>
  <si>
    <t>Rookie</t>
  </si>
  <si>
    <t>Legendary</t>
  </si>
  <si>
    <t>Mastery</t>
  </si>
  <si>
    <t>Score</t>
  </si>
  <si>
    <t>Deficit (Hours to cover up)</t>
  </si>
  <si>
    <t>Study Hours</t>
  </si>
  <si>
    <t>Actual (Total hours studied till now)</t>
  </si>
  <si>
    <t>Expected (Total hours that should have been done)</t>
  </si>
  <si>
    <t>Updated</t>
  </si>
  <si>
    <t>Daily Average</t>
  </si>
  <si>
    <t>Projections</t>
  </si>
  <si>
    <r>
      <t xml:space="preserve">Total hours I'll complete at this rate </t>
    </r>
    <r>
      <rPr>
        <i/>
        <sz val="12"/>
        <color theme="1"/>
        <rFont val="Calibri (Body)"/>
      </rPr>
      <t>(by module end)</t>
    </r>
  </si>
  <si>
    <t>Professional</t>
  </si>
  <si>
    <t>Level of Understanding</t>
  </si>
  <si>
    <t>Rank</t>
  </si>
  <si>
    <t>Data Visualization</t>
  </si>
  <si>
    <t>Current Status</t>
  </si>
  <si>
    <t>Data Competency: Excel</t>
  </si>
  <si>
    <t>Average Study Hours</t>
  </si>
  <si>
    <t>Day Name</t>
  </si>
  <si>
    <t>Day Number</t>
  </si>
  <si>
    <t>Monday</t>
  </si>
  <si>
    <t>Tuesday</t>
  </si>
  <si>
    <t>Wednesday</t>
  </si>
  <si>
    <t>Thursday</t>
  </si>
  <si>
    <t>Friday</t>
  </si>
  <si>
    <t>Saturday</t>
  </si>
  <si>
    <t>Sunday</t>
  </si>
  <si>
    <t>Day</t>
  </si>
  <si>
    <t>Total Study Hours</t>
  </si>
  <si>
    <t>No of Day Elapsed</t>
  </si>
  <si>
    <t>Day Level Average</t>
  </si>
  <si>
    <t>Day Count</t>
  </si>
  <si>
    <t>Elapsed</t>
  </si>
  <si>
    <t>Total Available</t>
  </si>
  <si>
    <t>Remaining</t>
  </si>
  <si>
    <t>Target Hours</t>
  </si>
  <si>
    <t>Daily Goal Hours</t>
  </si>
  <si>
    <t>Skill Wise Breakdown</t>
  </si>
  <si>
    <t>Excel for Analytics</t>
  </si>
  <si>
    <t>Excels' role in each of the analysis stages</t>
  </si>
  <si>
    <t>Excel terminologies</t>
  </si>
  <si>
    <t>Excel Shortcut Keys</t>
  </si>
  <si>
    <t>Text/String, Number, Date, Boolean, Error</t>
  </si>
  <si>
    <t>Grouping-UnGrouping</t>
  </si>
  <si>
    <t>TEXTBEFORE</t>
  </si>
  <si>
    <t>TEXTAFTER</t>
  </si>
  <si>
    <t>VLOOKUP</t>
  </si>
  <si>
    <t>HLOOKUP</t>
  </si>
  <si>
    <t>Limitations of VLOOKUP &amp; HLOOKUP, XLOOKUP</t>
  </si>
  <si>
    <t>Map Chart</t>
  </si>
  <si>
    <t>Miscellaneous</t>
  </si>
  <si>
    <t>Misc Topics in Excel</t>
  </si>
  <si>
    <t>Tables</t>
  </si>
  <si>
    <t>What-if Analysis</t>
  </si>
  <si>
    <t>Subtotals</t>
  </si>
  <si>
    <t xml:space="preserve">Dynamic charts using tables </t>
  </si>
  <si>
    <t>Review tab</t>
  </si>
  <si>
    <t xml:space="preserve">Commenting </t>
  </si>
  <si>
    <t>Protection - Locking Worksheets</t>
  </si>
  <si>
    <t>Excel Addins (Data Analysis Pack etc..) - Exploratory data analysis - Descriptive Statististcs</t>
  </si>
  <si>
    <t>Formula evaluation Debugging</t>
  </si>
  <si>
    <t>Day of the Week</t>
  </si>
  <si>
    <t>Uninitiated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</si>
</sst>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0.0"/>
    <numFmt numFmtId="166" formatCode="0.00\ &quot;Hours&quot;"/>
    <numFmt numFmtId="167" formatCode="[$-809]dd\ mmmm\ yyyy;@"/>
    <numFmt numFmtId="168" formatCode="0\ &quot;Days&quot;"/>
  </numFmts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2"/>
      <color theme="1"/>
      <name val="Calibri (Body)"/>
    </font>
    <font>
      <b/>
      <sz val="14"/>
      <color rgb="FF000000"/>
      <name val="Aptos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4DCF8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/>
    </xf>
    <xf numFmtId="9" fontId="0" fillId="0" borderId="0" xfId="1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5" fillId="0" borderId="0" xfId="0" applyFont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0" fillId="0" borderId="21" xfId="0" applyBorder="1"/>
    <xf numFmtId="168" fontId="3" fillId="0" borderId="21" xfId="0" applyNumberFormat="1" applyFont="1" applyBorder="1" applyAlignment="1">
      <alignment horizontal="center" vertical="center"/>
    </xf>
    <xf numFmtId="0" fontId="0" fillId="0" borderId="13" xfId="0" applyBorder="1"/>
    <xf numFmtId="166" fontId="3" fillId="0" borderId="21" xfId="0" applyNumberFormat="1" applyFont="1" applyBorder="1" applyAlignment="1">
      <alignment horizontal="center" vertical="center"/>
    </xf>
    <xf numFmtId="166" fontId="3" fillId="0" borderId="13" xfId="0" applyNumberFormat="1" applyFont="1" applyBorder="1" applyAlignment="1">
      <alignment horizontal="center" vertical="center"/>
    </xf>
    <xf numFmtId="166" fontId="8" fillId="0" borderId="21" xfId="0" applyNumberFormat="1" applyFont="1" applyBorder="1" applyAlignment="1">
      <alignment horizontal="center" vertical="center"/>
    </xf>
    <xf numFmtId="166" fontId="8" fillId="0" borderId="13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0" xfId="0" applyBorder="1"/>
    <xf numFmtId="166" fontId="3" fillId="0" borderId="20" xfId="0" applyNumberFormat="1" applyFont="1" applyBorder="1" applyAlignment="1">
      <alignment horizontal="center" vertical="center"/>
    </xf>
    <xf numFmtId="9" fontId="0" fillId="0" borderId="0" xfId="0" applyNumberFormat="1"/>
    <xf numFmtId="0" fontId="0" fillId="0" borderId="21" xfId="0" applyBorder="1" applyAlignment="1">
      <alignment horizontal="center" vertical="center"/>
    </xf>
    <xf numFmtId="9" fontId="1" fillId="0" borderId="5" xfId="1" applyFont="1" applyBorder="1" applyAlignment="1">
      <alignment horizontal="center" vertical="center"/>
    </xf>
    <xf numFmtId="9" fontId="1" fillId="0" borderId="24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3" fillId="4" borderId="14" xfId="0" applyFont="1" applyFill="1" applyBorder="1" applyAlignment="1">
      <alignment vertical="center"/>
    </xf>
    <xf numFmtId="0" fontId="3" fillId="4" borderId="32" xfId="0" applyFont="1" applyFill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/>
    </xf>
    <xf numFmtId="0" fontId="3" fillId="5" borderId="32" xfId="0" applyFont="1" applyFill="1" applyBorder="1" applyAlignment="1">
      <alignment vertical="center"/>
    </xf>
    <xf numFmtId="0" fontId="3" fillId="4" borderId="16" xfId="0" applyFont="1" applyFill="1" applyBorder="1" applyAlignment="1">
      <alignment vertical="center"/>
    </xf>
    <xf numFmtId="0" fontId="3" fillId="5" borderId="32" xfId="0" applyFont="1" applyFill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32" xfId="0" applyFont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0" fillId="0" borderId="16" xfId="0" applyBorder="1"/>
    <xf numFmtId="0" fontId="7" fillId="2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9" fontId="1" fillId="0" borderId="18" xfId="1" applyFont="1" applyBorder="1" applyAlignment="1">
      <alignment horizontal="center" vertical="center"/>
    </xf>
    <xf numFmtId="9" fontId="1" fillId="0" borderId="35" xfId="1" applyFont="1" applyBorder="1" applyAlignment="1">
      <alignment horizontal="center" vertical="center"/>
    </xf>
    <xf numFmtId="0" fontId="0" fillId="0" borderId="34" xfId="0" applyBorder="1"/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4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color theme="9" tint="0.39994506668294322"/>
      </font>
      <fill>
        <patternFill patternType="none">
          <bgColor auto="1"/>
        </patternFill>
      </fill>
    </dxf>
    <dxf>
      <font>
        <color theme="2" tint="-9.9948118533890809E-2"/>
      </font>
      <fill>
        <patternFill>
          <bgColor theme="0"/>
        </patternFill>
      </fill>
    </dxf>
    <dxf>
      <font>
        <u val="none"/>
        <color theme="7" tint="0.59996337778862885"/>
      </font>
      <fill>
        <patternFill patternType="none">
          <bgColor auto="1"/>
        </patternFill>
      </fill>
    </dxf>
    <dxf>
      <font>
        <u/>
        <color theme="4" tint="0.39994506668294322"/>
      </font>
      <fill>
        <patternFill patternType="none">
          <bgColor auto="1"/>
        </patternFill>
      </fill>
    </dxf>
    <dxf>
      <font>
        <b/>
        <i val="0"/>
        <u val="double"/>
        <color theme="0"/>
      </font>
      <fill>
        <patternFill patternType="solid">
          <bgColor theme="1" tint="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9" tint="0.39994506668294322"/>
      </font>
      <fill>
        <patternFill patternType="none">
          <bgColor auto="1"/>
        </patternFill>
      </fill>
    </dxf>
    <dxf>
      <font>
        <color theme="2" tint="-9.9948118533890809E-2"/>
      </font>
      <fill>
        <patternFill>
          <bgColor theme="0"/>
        </patternFill>
      </fill>
    </dxf>
    <dxf>
      <font>
        <u val="none"/>
        <color theme="7" tint="0.59996337778862885"/>
      </font>
      <fill>
        <patternFill patternType="none">
          <bgColor auto="1"/>
        </patternFill>
      </fill>
    </dxf>
    <dxf>
      <font>
        <u/>
        <color theme="4" tint="0.39994506668294322"/>
      </font>
      <fill>
        <patternFill patternType="none">
          <bgColor auto="1"/>
        </patternFill>
      </fill>
    </dxf>
    <dxf>
      <font>
        <b/>
        <i val="0"/>
        <u val="double"/>
        <color theme="0"/>
      </font>
      <fill>
        <patternFill patternType="solid">
          <bgColor theme="1" tint="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9" tint="0.39994506668294322"/>
      </font>
      <fill>
        <patternFill patternType="none">
          <bgColor auto="1"/>
        </patternFill>
      </fill>
    </dxf>
    <dxf>
      <font>
        <color theme="2" tint="-9.9948118533890809E-2"/>
      </font>
      <fill>
        <patternFill>
          <bgColor theme="0"/>
        </patternFill>
      </fill>
    </dxf>
    <dxf>
      <font>
        <u val="none"/>
        <color theme="7" tint="0.59996337778862885"/>
      </font>
      <fill>
        <patternFill patternType="none">
          <bgColor auto="1"/>
        </patternFill>
      </fill>
    </dxf>
    <dxf>
      <font>
        <u/>
        <color theme="4" tint="0.39994506668294322"/>
      </font>
      <fill>
        <patternFill patternType="none">
          <bgColor auto="1"/>
        </patternFill>
      </fill>
    </dxf>
    <dxf>
      <font>
        <b/>
        <i val="0"/>
        <u val="double"/>
        <color theme="0"/>
      </font>
      <fill>
        <patternFill patternType="solid">
          <bgColor theme="1" tint="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u val="none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Visualization!$B$1</c:f>
              <c:strCache>
                <c:ptCount val="1"/>
                <c:pt idx="0">
                  <c:v>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Visualization!$A$2:$A$50</c:f>
              <c:numCache>
                <c:formatCode>m/d/yyyy</c:formatCode>
                <c:ptCount val="4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</c:numCache>
            </c:numRef>
          </c:cat>
          <c:val>
            <c:numRef>
              <c:f>Visualization!$B$2:$B$50</c:f>
              <c:numCache>
                <c:formatCode>0.00</c:formatCode>
                <c:ptCount val="49"/>
                <c:pt idx="0">
                  <c:v>2.2505259635413299</c:v>
                </c:pt>
                <c:pt idx="1">
                  <c:v>2.1550270973536301</c:v>
                </c:pt>
                <c:pt idx="2">
                  <c:v>2.2006895426586208</c:v>
                </c:pt>
                <c:pt idx="3">
                  <c:v>2.1085771219222953</c:v>
                </c:pt>
                <c:pt idx="4">
                  <c:v>2.28329056199245</c:v>
                </c:pt>
                <c:pt idx="5">
                  <c:v>1.6966565281555612</c:v>
                </c:pt>
                <c:pt idx="6">
                  <c:v>1.6188465800286558</c:v>
                </c:pt>
                <c:pt idx="7">
                  <c:v>2.2397974717059688</c:v>
                </c:pt>
                <c:pt idx="8">
                  <c:v>2.2667256853946909</c:v>
                </c:pt>
                <c:pt idx="9">
                  <c:v>2.2791503675496672</c:v>
                </c:pt>
                <c:pt idx="10">
                  <c:v>2.2706708346851974</c:v>
                </c:pt>
                <c:pt idx="11">
                  <c:v>2.2233254828134692</c:v>
                </c:pt>
                <c:pt idx="12">
                  <c:v>1.6196689117436101</c:v>
                </c:pt>
                <c:pt idx="13">
                  <c:v>1.6146774533386536</c:v>
                </c:pt>
                <c:pt idx="14">
                  <c:v>2.232539383545316</c:v>
                </c:pt>
                <c:pt idx="15">
                  <c:v>2.2357023502853046</c:v>
                </c:pt>
                <c:pt idx="16">
                  <c:v>2.1489507496563003</c:v>
                </c:pt>
                <c:pt idx="17">
                  <c:v>2.277796551315221</c:v>
                </c:pt>
                <c:pt idx="18">
                  <c:v>2.278284377671612</c:v>
                </c:pt>
                <c:pt idx="19">
                  <c:v>1.5445600472652754</c:v>
                </c:pt>
                <c:pt idx="20">
                  <c:v>1.6431049778631026</c:v>
                </c:pt>
                <c:pt idx="21">
                  <c:v>2.1614431474012461</c:v>
                </c:pt>
                <c:pt idx="22">
                  <c:v>2.2079797231454537</c:v>
                </c:pt>
                <c:pt idx="23">
                  <c:v>2.2545381951677941</c:v>
                </c:pt>
                <c:pt idx="24">
                  <c:v>2.1791370650565325</c:v>
                </c:pt>
                <c:pt idx="25">
                  <c:v>2.1484136342167099</c:v>
                </c:pt>
                <c:pt idx="26">
                  <c:v>1.5793241276444328</c:v>
                </c:pt>
                <c:pt idx="27">
                  <c:v>1.5650465483413654</c:v>
                </c:pt>
                <c:pt idx="28">
                  <c:v>2.2711827012358921</c:v>
                </c:pt>
                <c:pt idx="29">
                  <c:v>2.2241881162603701</c:v>
                </c:pt>
                <c:pt idx="30">
                  <c:v>2.2583873273345798</c:v>
                </c:pt>
                <c:pt idx="31">
                  <c:v>2.2909829700351443</c:v>
                </c:pt>
                <c:pt idx="32">
                  <c:v>2.2621589850640835</c:v>
                </c:pt>
                <c:pt idx="33">
                  <c:v>1.6232950141729556</c:v>
                </c:pt>
                <c:pt idx="34">
                  <c:v>1.6332418894037222</c:v>
                </c:pt>
                <c:pt idx="35">
                  <c:v>2.2839033304580605</c:v>
                </c:pt>
                <c:pt idx="36">
                  <c:v>2.1968833363190399</c:v>
                </c:pt>
                <c:pt idx="37">
                  <c:v>2.1553372624260376</c:v>
                </c:pt>
                <c:pt idx="38">
                  <c:v>2.1328372252289918</c:v>
                </c:pt>
                <c:pt idx="39">
                  <c:v>2.1819572634721625</c:v>
                </c:pt>
                <c:pt idx="40">
                  <c:v>1.5248977063458866</c:v>
                </c:pt>
                <c:pt idx="41">
                  <c:v>1.5771961534158727</c:v>
                </c:pt>
                <c:pt idx="42">
                  <c:v>2.2541190940941798</c:v>
                </c:pt>
                <c:pt idx="43">
                  <c:v>2.1049062947547541</c:v>
                </c:pt>
                <c:pt idx="44">
                  <c:v>2.1234479682976821</c:v>
                </c:pt>
                <c:pt idx="45">
                  <c:v>2.1231510347007858</c:v>
                </c:pt>
                <c:pt idx="46">
                  <c:v>2.173100377453077</c:v>
                </c:pt>
                <c:pt idx="47">
                  <c:v>1.6330352602496452</c:v>
                </c:pt>
                <c:pt idx="48">
                  <c:v>1.5329351976693721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B-FE45-B1DE-5E66BF89D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9677135"/>
        <c:axId val="1513698303"/>
      </c:lineChart>
      <c:dateAx>
        <c:axId val="15996771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98303"/>
        <c:crosses val="autoZero"/>
        <c:auto val="1"/>
        <c:lblOffset val="100"/>
        <c:baseTimeUnit val="days"/>
      </c:dateAx>
      <c:valAx>
        <c:axId val="151369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7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Study Hours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BF-DD4D-AF2C-9D66E4C455F0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BF-DD4D-AF2C-9D66E4C455F0}"/>
              </c:ext>
            </c:extLst>
          </c:dPt>
          <c:dLbls>
            <c:dLbl>
              <c:idx val="0"/>
              <c:layout>
                <c:manualLayout>
                  <c:x val="0.24013512199863915"/>
                  <c:y val="-0.202552161750574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65288857174646"/>
                      <c:h val="0.114413427620019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ABF-DD4D-AF2C-9D66E4C455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'Progress Summary'!$B$6:$B$7</c:f>
              <c:strCache>
                <c:ptCount val="2"/>
                <c:pt idx="0">
                  <c:v>Actual (Total hours studied till now)</c:v>
                </c:pt>
                <c:pt idx="1">
                  <c:v>Deficit (Hours to cover up)</c:v>
                </c:pt>
              </c:strCache>
            </c:strRef>
          </c:cat>
          <c:val>
            <c:numRef>
              <c:f>'Progress Summary'!$C$6:$C$7</c:f>
              <c:numCache>
                <c:formatCode>0.00\ "Hours"</c:formatCode>
                <c:ptCount val="2"/>
                <c:pt idx="0">
                  <c:v>30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BF-DD4D-AF2C-9D66E4C45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Study Hours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'Study Hours Data'!$C$1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Projected</c:nam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35752583470443"/>
                  <c:y val="-0.637818936179441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'Study Hours Data'!$A$2:$A$81</c:f>
              <c:numCache>
                <c:formatCode>[$-809]dd\ mmmm\ yyyy;@</c:formatCode>
                <c:ptCount val="80"/>
                <c:pt idx="0">
                  <c:v>45521</c:v>
                </c:pt>
                <c:pt idx="1">
                  <c:v>45522</c:v>
                </c:pt>
                <c:pt idx="2">
                  <c:v>45523</c:v>
                </c:pt>
                <c:pt idx="3">
                  <c:v>45524</c:v>
                </c:pt>
                <c:pt idx="4">
                  <c:v>45525</c:v>
                </c:pt>
                <c:pt idx="5">
                  <c:v>45526</c:v>
                </c:pt>
                <c:pt idx="6">
                  <c:v>45527</c:v>
                </c:pt>
                <c:pt idx="7">
                  <c:v>45528</c:v>
                </c:pt>
                <c:pt idx="8">
                  <c:v>45529</c:v>
                </c:pt>
                <c:pt idx="9">
                  <c:v>45530</c:v>
                </c:pt>
                <c:pt idx="10">
                  <c:v>45531</c:v>
                </c:pt>
                <c:pt idx="11">
                  <c:v>45532</c:v>
                </c:pt>
                <c:pt idx="12">
                  <c:v>45533</c:v>
                </c:pt>
                <c:pt idx="13">
                  <c:v>45534</c:v>
                </c:pt>
                <c:pt idx="14">
                  <c:v>45535</c:v>
                </c:pt>
                <c:pt idx="15">
                  <c:v>45536</c:v>
                </c:pt>
                <c:pt idx="16">
                  <c:v>45537</c:v>
                </c:pt>
                <c:pt idx="17">
                  <c:v>45538</c:v>
                </c:pt>
                <c:pt idx="18">
                  <c:v>45539</c:v>
                </c:pt>
                <c:pt idx="19">
                  <c:v>45540</c:v>
                </c:pt>
                <c:pt idx="20">
                  <c:v>45541</c:v>
                </c:pt>
                <c:pt idx="21">
                  <c:v>45542</c:v>
                </c:pt>
                <c:pt idx="22">
                  <c:v>45543</c:v>
                </c:pt>
                <c:pt idx="23">
                  <c:v>45544</c:v>
                </c:pt>
                <c:pt idx="24">
                  <c:v>45545</c:v>
                </c:pt>
                <c:pt idx="25">
                  <c:v>45546</c:v>
                </c:pt>
                <c:pt idx="26">
                  <c:v>45547</c:v>
                </c:pt>
                <c:pt idx="27">
                  <c:v>45548</c:v>
                </c:pt>
                <c:pt idx="28">
                  <c:v>45549</c:v>
                </c:pt>
                <c:pt idx="29">
                  <c:v>45550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45556</c:v>
                </c:pt>
                <c:pt idx="36">
                  <c:v>45557</c:v>
                </c:pt>
                <c:pt idx="37">
                  <c:v>45558</c:v>
                </c:pt>
                <c:pt idx="38">
                  <c:v>45559</c:v>
                </c:pt>
                <c:pt idx="39">
                  <c:v>45560</c:v>
                </c:pt>
                <c:pt idx="40">
                  <c:v>45561</c:v>
                </c:pt>
                <c:pt idx="41">
                  <c:v>45562</c:v>
                </c:pt>
                <c:pt idx="42">
                  <c:v>45563</c:v>
                </c:pt>
                <c:pt idx="43">
                  <c:v>45564</c:v>
                </c:pt>
                <c:pt idx="44">
                  <c:v>45565</c:v>
                </c:pt>
                <c:pt idx="45">
                  <c:v>45566</c:v>
                </c:pt>
                <c:pt idx="46">
                  <c:v>45567</c:v>
                </c:pt>
                <c:pt idx="47">
                  <c:v>45568</c:v>
                </c:pt>
                <c:pt idx="48">
                  <c:v>45569</c:v>
                </c:pt>
                <c:pt idx="49">
                  <c:v>45570</c:v>
                </c:pt>
                <c:pt idx="50">
                  <c:v>45571</c:v>
                </c:pt>
                <c:pt idx="51">
                  <c:v>45572</c:v>
                </c:pt>
                <c:pt idx="52">
                  <c:v>45573</c:v>
                </c:pt>
                <c:pt idx="53">
                  <c:v>45574</c:v>
                </c:pt>
                <c:pt idx="54">
                  <c:v>45575</c:v>
                </c:pt>
                <c:pt idx="55">
                  <c:v>45576</c:v>
                </c:pt>
                <c:pt idx="56">
                  <c:v>45577</c:v>
                </c:pt>
                <c:pt idx="57">
                  <c:v>45578</c:v>
                </c:pt>
              </c:numCache>
            </c:numRef>
          </c:cat>
          <c:val>
            <c:numRef>
              <c:f>'Study Hours Data'!$C$2:$C$81</c:f>
              <c:numCache>
                <c:formatCode>General</c:formatCode>
                <c:ptCount val="80"/>
                <c:pt idx="0">
                  <c:v>5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84-4145-8A16-F4B5F0615ECE}"/>
            </c:ext>
          </c:extLst>
        </c:ser>
        <c:ser>
          <c:idx val="3"/>
          <c:order val="1"/>
          <c:tx>
            <c:strRef>
              <c:f>'Study Hours Data'!$F$1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'Study Hours Data'!$A$2:$A$81</c:f>
              <c:numCache>
                <c:formatCode>[$-809]dd\ mmmm\ yyyy;@</c:formatCode>
                <c:ptCount val="80"/>
                <c:pt idx="0">
                  <c:v>45521</c:v>
                </c:pt>
                <c:pt idx="1">
                  <c:v>45522</c:v>
                </c:pt>
                <c:pt idx="2">
                  <c:v>45523</c:v>
                </c:pt>
                <c:pt idx="3">
                  <c:v>45524</c:v>
                </c:pt>
                <c:pt idx="4">
                  <c:v>45525</c:v>
                </c:pt>
                <c:pt idx="5">
                  <c:v>45526</c:v>
                </c:pt>
                <c:pt idx="6">
                  <c:v>45527</c:v>
                </c:pt>
                <c:pt idx="7">
                  <c:v>45528</c:v>
                </c:pt>
                <c:pt idx="8">
                  <c:v>45529</c:v>
                </c:pt>
                <c:pt idx="9">
                  <c:v>45530</c:v>
                </c:pt>
                <c:pt idx="10">
                  <c:v>45531</c:v>
                </c:pt>
                <c:pt idx="11">
                  <c:v>45532</c:v>
                </c:pt>
                <c:pt idx="12">
                  <c:v>45533</c:v>
                </c:pt>
                <c:pt idx="13">
                  <c:v>45534</c:v>
                </c:pt>
                <c:pt idx="14">
                  <c:v>45535</c:v>
                </c:pt>
                <c:pt idx="15">
                  <c:v>45536</c:v>
                </c:pt>
                <c:pt idx="16">
                  <c:v>45537</c:v>
                </c:pt>
                <c:pt idx="17">
                  <c:v>45538</c:v>
                </c:pt>
                <c:pt idx="18">
                  <c:v>45539</c:v>
                </c:pt>
                <c:pt idx="19">
                  <c:v>45540</c:v>
                </c:pt>
                <c:pt idx="20">
                  <c:v>45541</c:v>
                </c:pt>
                <c:pt idx="21">
                  <c:v>45542</c:v>
                </c:pt>
                <c:pt idx="22">
                  <c:v>45543</c:v>
                </c:pt>
                <c:pt idx="23">
                  <c:v>45544</c:v>
                </c:pt>
                <c:pt idx="24">
                  <c:v>45545</c:v>
                </c:pt>
                <c:pt idx="25">
                  <c:v>45546</c:v>
                </c:pt>
                <c:pt idx="26">
                  <c:v>45547</c:v>
                </c:pt>
                <c:pt idx="27">
                  <c:v>45548</c:v>
                </c:pt>
                <c:pt idx="28">
                  <c:v>45549</c:v>
                </c:pt>
                <c:pt idx="29">
                  <c:v>45550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45556</c:v>
                </c:pt>
                <c:pt idx="36">
                  <c:v>45557</c:v>
                </c:pt>
                <c:pt idx="37">
                  <c:v>45558</c:v>
                </c:pt>
                <c:pt idx="38">
                  <c:v>45559</c:v>
                </c:pt>
                <c:pt idx="39">
                  <c:v>45560</c:v>
                </c:pt>
                <c:pt idx="40">
                  <c:v>45561</c:v>
                </c:pt>
                <c:pt idx="41">
                  <c:v>45562</c:v>
                </c:pt>
                <c:pt idx="42">
                  <c:v>45563</c:v>
                </c:pt>
                <c:pt idx="43">
                  <c:v>45564</c:v>
                </c:pt>
                <c:pt idx="44">
                  <c:v>45565</c:v>
                </c:pt>
                <c:pt idx="45">
                  <c:v>45566</c:v>
                </c:pt>
                <c:pt idx="46">
                  <c:v>45567</c:v>
                </c:pt>
                <c:pt idx="47">
                  <c:v>45568</c:v>
                </c:pt>
                <c:pt idx="48">
                  <c:v>45569</c:v>
                </c:pt>
                <c:pt idx="49">
                  <c:v>45570</c:v>
                </c:pt>
                <c:pt idx="50">
                  <c:v>45571</c:v>
                </c:pt>
                <c:pt idx="51">
                  <c:v>45572</c:v>
                </c:pt>
                <c:pt idx="52">
                  <c:v>45573</c:v>
                </c:pt>
                <c:pt idx="53">
                  <c:v>45574</c:v>
                </c:pt>
                <c:pt idx="54">
                  <c:v>45575</c:v>
                </c:pt>
                <c:pt idx="55">
                  <c:v>45576</c:v>
                </c:pt>
                <c:pt idx="56">
                  <c:v>45577</c:v>
                </c:pt>
                <c:pt idx="57">
                  <c:v>45578</c:v>
                </c:pt>
              </c:numCache>
            </c:numRef>
          </c:cat>
          <c:val>
            <c:numRef>
              <c:f>'Study Hours Data'!$F$2:$F$59</c:f>
              <c:numCache>
                <c:formatCode>General</c:formatCode>
                <c:ptCount val="58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284-4145-8A16-F4B5F0615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4150687"/>
        <c:axId val="1919217135"/>
      </c:lineChart>
      <c:dateAx>
        <c:axId val="67415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809]d\ mmmm\ 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217135"/>
        <c:crosses val="autoZero"/>
        <c:auto val="1"/>
        <c:lblOffset val="100"/>
        <c:baseTimeUnit val="days"/>
      </c:dateAx>
      <c:valAx>
        <c:axId val="1919217135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5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0</xdr:row>
      <xdr:rowOff>187324</xdr:rowOff>
    </xdr:from>
    <xdr:to>
      <xdr:col>11</xdr:col>
      <xdr:colOff>196850</xdr:colOff>
      <xdr:row>16</xdr:row>
      <xdr:rowOff>101599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445FE90-603F-576C-1F79-AAAA39125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161450</xdr:colOff>
      <xdr:row>3</xdr:row>
      <xdr:rowOff>12262</xdr:rowOff>
    </xdr:from>
    <xdr:to>
      <xdr:col>6</xdr:col>
      <xdr:colOff>326550</xdr:colOff>
      <xdr:row>15</xdr:row>
      <xdr:rowOff>37662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72443-BECE-724C-A0F5-DF4C8F1DB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364938</xdr:colOff>
          <xdr:row>7</xdr:row>
          <xdr:rowOff>9339</xdr:rowOff>
        </xdr:from>
        <xdr:to>
          <xdr:col>13</xdr:col>
          <xdr:colOff>678457</xdr:colOff>
          <xdr:row>9</xdr:row>
          <xdr:rowOff>121398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482CB14D-F39C-F67F-3BDE-20913185048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rogress Summary'!$C$10" spid="_x0000_s1643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582585" y="1559486"/>
              <a:ext cx="2778813" cy="52294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466912</xdr:colOff>
          <xdr:row>7</xdr:row>
          <xdr:rowOff>9339</xdr:rowOff>
        </xdr:from>
        <xdr:to>
          <xdr:col>9</xdr:col>
          <xdr:colOff>784412</xdr:colOff>
          <xdr:row>9</xdr:row>
          <xdr:rowOff>118236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28FD67AB-CD70-CA05-BF55-2716B0AAA70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rogress Summary'!$C$9" spid="_x0000_s1643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404672" y="1553659"/>
              <a:ext cx="2786380" cy="51529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7</xdr:col>
      <xdr:colOff>429558</xdr:colOff>
      <xdr:row>5</xdr:row>
      <xdr:rowOff>112059</xdr:rowOff>
    </xdr:from>
    <xdr:ext cx="1535805" cy="31149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C09040-B7BD-271D-B201-BFB2E2CFAA5E}"/>
            </a:ext>
          </a:extLst>
        </xdr:cNvPr>
        <xdr:cNvSpPr txBox="1"/>
      </xdr:nvSpPr>
      <xdr:spPr>
        <a:xfrm>
          <a:off x="6190278" y="1249979"/>
          <a:ext cx="153580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/>
            <a:t>Current Daily Avg.</a:t>
          </a:r>
        </a:p>
      </xdr:txBody>
    </xdr:sp>
    <xdr:clientData/>
  </xdr:oneCellAnchor>
  <xdr:oneCellAnchor>
    <xdr:from>
      <xdr:col>11</xdr:col>
      <xdr:colOff>109369</xdr:colOff>
      <xdr:row>5</xdr:row>
      <xdr:rowOff>121397</xdr:rowOff>
    </xdr:from>
    <xdr:ext cx="1646669" cy="31149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6436B44-2F2A-4840-9A0C-5F66F471A3B6}"/>
            </a:ext>
          </a:extLst>
        </xdr:cNvPr>
        <xdr:cNvSpPr txBox="1"/>
      </xdr:nvSpPr>
      <xdr:spPr>
        <a:xfrm>
          <a:off x="9161929" y="1259317"/>
          <a:ext cx="164666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/>
            <a:t>Required Daily Avg.</a:t>
          </a:r>
        </a:p>
      </xdr:txBody>
    </xdr:sp>
    <xdr:clientData/>
  </xdr:oneCellAnchor>
  <xdr:twoCellAnchor>
    <xdr:from>
      <xdr:col>0</xdr:col>
      <xdr:colOff>172720</xdr:colOff>
      <xdr:row>17</xdr:row>
      <xdr:rowOff>60960</xdr:rowOff>
    </xdr:from>
    <xdr:to>
      <xdr:col>16</xdr:col>
      <xdr:colOff>124460</xdr:colOff>
      <xdr:row>44</xdr:row>
      <xdr:rowOff>182880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CED04A8-8758-3E42-BC8B-27168AAB1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4DC5-D301-F541-94B0-91665FD57BEA}">
  <dimension ref="A1:B123"/>
  <sheetViews>
    <sheetView zoomScale="200" workbookViewId="0">
      <selection activeCell="B10" sqref="B10"/>
    </sheetView>
  </sheetViews>
  <sheetFormatPr defaultColWidth="11" defaultRowHeight="15.75"/>
  <cols>
    <col min="1" max="1" width="26.1875" bestFit="1" customWidth="1"/>
  </cols>
  <sheetData>
    <row r="1" spans="1:2">
      <c r="A1" t="s">
        <v>0</v>
      </c>
      <c r="B1" t="s">
        <v>1</v>
      </c>
    </row>
    <row r="2" spans="1:2">
      <c r="A2" s="3">
        <v>45292</v>
      </c>
      <c r="B2" s="2">
        <v>2.2505259635413299</v>
      </c>
    </row>
    <row r="3" spans="1:2">
      <c r="A3" s="3">
        <v>45293</v>
      </c>
      <c r="B3" s="2">
        <v>2.1550270973536301</v>
      </c>
    </row>
    <row r="4" spans="1:2">
      <c r="A4" s="3">
        <v>45294</v>
      </c>
      <c r="B4" s="2">
        <v>2.2006895426586208</v>
      </c>
    </row>
    <row r="5" spans="1:2">
      <c r="A5" s="3">
        <v>45295</v>
      </c>
      <c r="B5" s="2">
        <v>2.1085771219222953</v>
      </c>
    </row>
    <row r="6" spans="1:2">
      <c r="A6" s="3">
        <v>45296</v>
      </c>
      <c r="B6" s="2">
        <v>2.28329056199245</v>
      </c>
    </row>
    <row r="7" spans="1:2">
      <c r="A7" s="3">
        <v>45297</v>
      </c>
      <c r="B7" s="2">
        <v>1.6966565281555612</v>
      </c>
    </row>
    <row r="8" spans="1:2">
      <c r="A8" s="3">
        <v>45298</v>
      </c>
      <c r="B8" s="2">
        <v>1.6188465800286558</v>
      </c>
    </row>
    <row r="9" spans="1:2">
      <c r="A9" s="3">
        <v>45299</v>
      </c>
      <c r="B9" s="2">
        <v>2.2397974717059688</v>
      </c>
    </row>
    <row r="10" spans="1:2">
      <c r="A10" s="3">
        <v>45300</v>
      </c>
      <c r="B10" s="2">
        <v>2.2667256853946909</v>
      </c>
    </row>
    <row r="11" spans="1:2">
      <c r="A11" s="3">
        <v>45301</v>
      </c>
      <c r="B11" s="2">
        <v>2.2791503675496672</v>
      </c>
    </row>
    <row r="12" spans="1:2">
      <c r="A12" s="3">
        <v>45302</v>
      </c>
      <c r="B12" s="2">
        <v>2.2706708346851974</v>
      </c>
    </row>
    <row r="13" spans="1:2">
      <c r="A13" s="3">
        <v>45303</v>
      </c>
      <c r="B13" s="2">
        <v>2.2233254828134692</v>
      </c>
    </row>
    <row r="14" spans="1:2">
      <c r="A14" s="3">
        <v>45304</v>
      </c>
      <c r="B14" s="2">
        <v>1.6196689117436101</v>
      </c>
    </row>
    <row r="15" spans="1:2">
      <c r="A15" s="3">
        <v>45305</v>
      </c>
      <c r="B15" s="2">
        <v>1.6146774533386536</v>
      </c>
    </row>
    <row r="16" spans="1:2">
      <c r="A16" s="3">
        <v>45306</v>
      </c>
      <c r="B16" s="2">
        <v>2.232539383545316</v>
      </c>
    </row>
    <row r="17" spans="1:2">
      <c r="A17" s="3">
        <v>45307</v>
      </c>
      <c r="B17" s="2">
        <v>2.2357023502853046</v>
      </c>
    </row>
    <row r="18" spans="1:2">
      <c r="A18" s="3">
        <v>45308</v>
      </c>
      <c r="B18" s="2">
        <v>2.1489507496563003</v>
      </c>
    </row>
    <row r="19" spans="1:2">
      <c r="A19" s="3">
        <v>45309</v>
      </c>
      <c r="B19" s="2">
        <v>2.277796551315221</v>
      </c>
    </row>
    <row r="20" spans="1:2">
      <c r="A20" s="3">
        <v>45310</v>
      </c>
      <c r="B20" s="2">
        <v>2.278284377671612</v>
      </c>
    </row>
    <row r="21" spans="1:2">
      <c r="A21" s="3">
        <v>45311</v>
      </c>
      <c r="B21" s="2">
        <v>1.5445600472652754</v>
      </c>
    </row>
    <row r="22" spans="1:2">
      <c r="A22" s="3">
        <v>45312</v>
      </c>
      <c r="B22" s="2">
        <v>1.6431049778631026</v>
      </c>
    </row>
    <row r="23" spans="1:2">
      <c r="A23" s="3">
        <v>45313</v>
      </c>
      <c r="B23" s="2">
        <v>2.1614431474012461</v>
      </c>
    </row>
    <row r="24" spans="1:2">
      <c r="A24" s="3">
        <v>45314</v>
      </c>
      <c r="B24" s="2">
        <v>2.2079797231454537</v>
      </c>
    </row>
    <row r="25" spans="1:2">
      <c r="A25" s="3">
        <v>45315</v>
      </c>
      <c r="B25" s="2">
        <v>2.2545381951677941</v>
      </c>
    </row>
    <row r="26" spans="1:2">
      <c r="A26" s="3">
        <v>45316</v>
      </c>
      <c r="B26" s="2">
        <v>2.1791370650565325</v>
      </c>
    </row>
    <row r="27" spans="1:2">
      <c r="A27" s="3">
        <v>45317</v>
      </c>
      <c r="B27" s="2">
        <v>2.1484136342167099</v>
      </c>
    </row>
    <row r="28" spans="1:2">
      <c r="A28" s="3">
        <v>45318</v>
      </c>
      <c r="B28" s="2">
        <v>1.5793241276444328</v>
      </c>
    </row>
    <row r="29" spans="1:2">
      <c r="A29" s="3">
        <v>45319</v>
      </c>
      <c r="B29" s="2">
        <v>1.5650465483413654</v>
      </c>
    </row>
    <row r="30" spans="1:2">
      <c r="A30" s="3">
        <v>45320</v>
      </c>
      <c r="B30" s="2">
        <v>2.2711827012358921</v>
      </c>
    </row>
    <row r="31" spans="1:2">
      <c r="A31" s="3">
        <v>45321</v>
      </c>
      <c r="B31" s="2">
        <v>2.2241881162603701</v>
      </c>
    </row>
    <row r="32" spans="1:2">
      <c r="A32" s="3">
        <v>45322</v>
      </c>
      <c r="B32" s="2">
        <v>2.2583873273345798</v>
      </c>
    </row>
    <row r="33" spans="1:2">
      <c r="A33" s="3">
        <v>45323</v>
      </c>
      <c r="B33" s="2">
        <v>2.2909829700351443</v>
      </c>
    </row>
    <row r="34" spans="1:2">
      <c r="A34" s="3">
        <v>45324</v>
      </c>
      <c r="B34" s="2">
        <v>2.2621589850640835</v>
      </c>
    </row>
    <row r="35" spans="1:2">
      <c r="A35" s="3">
        <v>45325</v>
      </c>
      <c r="B35" s="2">
        <v>1.6232950141729556</v>
      </c>
    </row>
    <row r="36" spans="1:2">
      <c r="A36" s="3">
        <v>45326</v>
      </c>
      <c r="B36" s="2">
        <v>1.6332418894037222</v>
      </c>
    </row>
    <row r="37" spans="1:2">
      <c r="A37" s="3">
        <v>45327</v>
      </c>
      <c r="B37" s="2">
        <v>2.2839033304580605</v>
      </c>
    </row>
    <row r="38" spans="1:2">
      <c r="A38" s="3">
        <v>45328</v>
      </c>
      <c r="B38" s="2">
        <v>2.1968833363190399</v>
      </c>
    </row>
    <row r="39" spans="1:2">
      <c r="A39" s="3">
        <v>45329</v>
      </c>
      <c r="B39" s="2">
        <v>2.1553372624260376</v>
      </c>
    </row>
    <row r="40" spans="1:2">
      <c r="A40" s="3">
        <v>45330</v>
      </c>
      <c r="B40" s="2">
        <v>2.1328372252289918</v>
      </c>
    </row>
    <row r="41" spans="1:2">
      <c r="A41" s="3">
        <v>45331</v>
      </c>
      <c r="B41" s="2">
        <v>2.1819572634721625</v>
      </c>
    </row>
    <row r="42" spans="1:2">
      <c r="A42" s="3">
        <v>45332</v>
      </c>
      <c r="B42" s="2">
        <v>1.5248977063458866</v>
      </c>
    </row>
    <row r="43" spans="1:2">
      <c r="A43" s="3">
        <v>45333</v>
      </c>
      <c r="B43" s="2">
        <v>1.5771961534158727</v>
      </c>
    </row>
    <row r="44" spans="1:2">
      <c r="A44" s="3">
        <v>45334</v>
      </c>
      <c r="B44" s="2">
        <v>2.2541190940941798</v>
      </c>
    </row>
    <row r="45" spans="1:2">
      <c r="A45" s="3">
        <v>45335</v>
      </c>
      <c r="B45" s="2">
        <v>2.1049062947547541</v>
      </c>
    </row>
    <row r="46" spans="1:2">
      <c r="A46" s="3">
        <v>45336</v>
      </c>
      <c r="B46" s="2">
        <v>2.1234479682976821</v>
      </c>
    </row>
    <row r="47" spans="1:2">
      <c r="A47" s="3">
        <v>45337</v>
      </c>
      <c r="B47" s="2">
        <v>2.1231510347007858</v>
      </c>
    </row>
    <row r="48" spans="1:2">
      <c r="A48" s="3">
        <v>45338</v>
      </c>
      <c r="B48" s="2">
        <v>2.173100377453077</v>
      </c>
    </row>
    <row r="49" spans="1:2">
      <c r="A49" s="3">
        <v>45339</v>
      </c>
      <c r="B49" s="2">
        <v>1.6330352602496452</v>
      </c>
    </row>
    <row r="50" spans="1:2">
      <c r="A50" s="3">
        <v>45340</v>
      </c>
      <c r="B50" s="2">
        <v>1.5329351976693721</v>
      </c>
    </row>
    <row r="51" spans="1:2">
      <c r="A51" s="1"/>
      <c r="B51" s="2"/>
    </row>
    <row r="52" spans="1:2">
      <c r="A52" s="1"/>
      <c r="B52" s="2"/>
    </row>
    <row r="53" spans="1:2">
      <c r="A53" s="1"/>
      <c r="B53" s="2"/>
    </row>
    <row r="54" spans="1:2">
      <c r="A54" s="1"/>
      <c r="B54" s="2"/>
    </row>
    <row r="55" spans="1:2">
      <c r="A55" s="1"/>
      <c r="B55" s="2"/>
    </row>
    <row r="56" spans="1:2">
      <c r="A56" s="1"/>
      <c r="B56" s="2"/>
    </row>
    <row r="57" spans="1:2">
      <c r="A57" s="1"/>
      <c r="B57" s="2"/>
    </row>
    <row r="58" spans="1:2">
      <c r="A58" s="1"/>
      <c r="B58" s="2"/>
    </row>
    <row r="59" spans="1:2">
      <c r="A59" s="1"/>
      <c r="B59" s="2"/>
    </row>
    <row r="60" spans="1:2">
      <c r="A60" s="1"/>
      <c r="B60" s="2"/>
    </row>
    <row r="61" spans="1:2">
      <c r="A61" s="1"/>
      <c r="B61" s="2"/>
    </row>
    <row r="62" spans="1:2">
      <c r="A62" s="1"/>
      <c r="B62" s="2"/>
    </row>
    <row r="63" spans="1:2">
      <c r="A63" s="1"/>
      <c r="B63" s="2"/>
    </row>
    <row r="64" spans="1:2">
      <c r="A64" s="1"/>
      <c r="B64" s="2"/>
    </row>
    <row r="65" spans="1:2">
      <c r="A65" s="1"/>
      <c r="B65" s="2"/>
    </row>
    <row r="66" spans="1:2">
      <c r="A66" s="1"/>
      <c r="B66" s="2"/>
    </row>
    <row r="67" spans="1:2">
      <c r="A67" s="1"/>
      <c r="B67" s="2"/>
    </row>
    <row r="68" spans="1:2">
      <c r="A68" s="1"/>
      <c r="B68" s="2"/>
    </row>
    <row r="69" spans="1:2">
      <c r="A69" s="1"/>
      <c r="B69" s="2"/>
    </row>
    <row r="70" spans="1:2">
      <c r="A70" s="1"/>
      <c r="B70" s="2"/>
    </row>
    <row r="71" spans="1:2">
      <c r="A71" s="1"/>
      <c r="B71" s="2"/>
    </row>
    <row r="72" spans="1:2">
      <c r="A72" s="1"/>
      <c r="B72" s="2"/>
    </row>
    <row r="73" spans="1:2">
      <c r="A73" s="1"/>
      <c r="B73" s="2"/>
    </row>
    <row r="74" spans="1:2">
      <c r="A74" s="1"/>
      <c r="B74" s="2"/>
    </row>
    <row r="75" spans="1:2">
      <c r="A75" s="1"/>
      <c r="B75" s="2"/>
    </row>
    <row r="76" spans="1:2">
      <c r="A76" s="1"/>
      <c r="B76" s="2"/>
    </row>
    <row r="77" spans="1:2">
      <c r="A77" s="1"/>
      <c r="B77" s="2"/>
    </row>
    <row r="78" spans="1:2">
      <c r="A78" s="1"/>
      <c r="B78" s="2"/>
    </row>
    <row r="79" spans="1:2">
      <c r="A79" s="1"/>
      <c r="B79" s="2"/>
    </row>
    <row r="80" spans="1:2">
      <c r="A80" s="1"/>
      <c r="B80" s="2"/>
    </row>
    <row r="81" spans="1:2">
      <c r="A81" s="1"/>
      <c r="B81" s="2"/>
    </row>
    <row r="82" spans="1:2">
      <c r="A82" s="1"/>
      <c r="B82" s="2"/>
    </row>
    <row r="83" spans="1:2">
      <c r="A83" s="1"/>
      <c r="B83" s="2"/>
    </row>
    <row r="84" spans="1:2">
      <c r="A84" s="1"/>
      <c r="B84" s="2"/>
    </row>
    <row r="85" spans="1:2">
      <c r="A85" s="1"/>
      <c r="B85" s="2"/>
    </row>
    <row r="86" spans="1:2">
      <c r="A86" s="1"/>
      <c r="B86" s="2"/>
    </row>
    <row r="87" spans="1:2">
      <c r="A87" s="1"/>
      <c r="B87" s="2"/>
    </row>
    <row r="88" spans="1:2">
      <c r="A88" s="1"/>
      <c r="B88" s="2"/>
    </row>
    <row r="89" spans="1:2">
      <c r="A89" s="1"/>
      <c r="B89" s="2"/>
    </row>
    <row r="90" spans="1:2">
      <c r="A90" s="1"/>
      <c r="B90" s="2"/>
    </row>
    <row r="91" spans="1:2">
      <c r="A91" s="1"/>
      <c r="B91" s="2"/>
    </row>
    <row r="92" spans="1:2">
      <c r="A92" s="1"/>
      <c r="B92" s="2"/>
    </row>
    <row r="93" spans="1:2">
      <c r="A93" s="1"/>
      <c r="B93" s="2"/>
    </row>
    <row r="94" spans="1:2">
      <c r="A94" s="1"/>
      <c r="B94" s="2"/>
    </row>
    <row r="95" spans="1:2">
      <c r="A95" s="1"/>
      <c r="B95" s="2"/>
    </row>
    <row r="96" spans="1:2">
      <c r="A96" s="1"/>
      <c r="B96" s="2"/>
    </row>
    <row r="97" spans="1:2">
      <c r="A97" s="1"/>
      <c r="B97" s="2"/>
    </row>
    <row r="98" spans="1:2">
      <c r="A98" s="1"/>
      <c r="B98" s="2"/>
    </row>
    <row r="99" spans="1:2">
      <c r="A99" s="1"/>
      <c r="B99" s="2"/>
    </row>
    <row r="100" spans="1:2">
      <c r="A100" s="1"/>
      <c r="B100" s="2"/>
    </row>
    <row r="101" spans="1:2">
      <c r="A101" s="1"/>
      <c r="B101" s="2"/>
    </row>
    <row r="102" spans="1:2">
      <c r="A102" s="1"/>
      <c r="B102" s="2"/>
    </row>
    <row r="103" spans="1:2">
      <c r="A103" s="1"/>
      <c r="B103" s="2"/>
    </row>
    <row r="104" spans="1:2">
      <c r="A104" s="1"/>
      <c r="B104" s="2"/>
    </row>
    <row r="105" spans="1:2">
      <c r="A105" s="1"/>
      <c r="B105" s="2"/>
    </row>
    <row r="106" spans="1:2">
      <c r="A106" s="1"/>
      <c r="B106" s="2"/>
    </row>
    <row r="107" spans="1:2">
      <c r="A107" s="1"/>
      <c r="B107" s="2"/>
    </row>
    <row r="108" spans="1:2">
      <c r="A108" s="1"/>
      <c r="B108" s="2"/>
    </row>
    <row r="109" spans="1:2">
      <c r="A109" s="1"/>
      <c r="B109" s="2"/>
    </row>
    <row r="110" spans="1:2">
      <c r="A110" s="1"/>
      <c r="B110" s="2"/>
    </row>
    <row r="111" spans="1:2">
      <c r="A111" s="1"/>
      <c r="B111" s="2"/>
    </row>
    <row r="112" spans="1:2">
      <c r="A112" s="1"/>
      <c r="B112" s="2"/>
    </row>
    <row r="113" spans="1:2">
      <c r="A113" s="1"/>
      <c r="B113" s="2"/>
    </row>
    <row r="114" spans="1:2">
      <c r="A114" s="1"/>
      <c r="B114" s="2"/>
    </row>
    <row r="115" spans="1:2">
      <c r="A115" s="1"/>
      <c r="B115" s="2"/>
    </row>
    <row r="116" spans="1:2">
      <c r="A116" s="1"/>
      <c r="B116" s="2"/>
    </row>
    <row r="117" spans="1:2">
      <c r="A117" s="1"/>
      <c r="B117" s="2"/>
    </row>
    <row r="118" spans="1:2">
      <c r="A118" s="1"/>
      <c r="B118" s="2"/>
    </row>
    <row r="119" spans="1:2">
      <c r="A119" s="1"/>
      <c r="B119" s="2"/>
    </row>
    <row r="120" spans="1:2">
      <c r="A120" s="1"/>
      <c r="B120" s="2"/>
    </row>
    <row r="121" spans="1:2">
      <c r="A121" s="1"/>
      <c r="B121" s="2"/>
    </row>
    <row r="122" spans="1:2">
      <c r="A122" s="1"/>
      <c r="B122" s="2"/>
    </row>
    <row r="123" spans="1:2">
      <c r="A123" s="1"/>
      <c r="B12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D7E7-391D-F048-8CDD-2E38BFF33818}">
  <dimension ref="A1:L49"/>
  <sheetViews>
    <sheetView zoomScale="90" zoomScaleNormal="90" workbookViewId="0">
      <selection activeCell="C4" sqref="C4"/>
    </sheetView>
  </sheetViews>
  <sheetFormatPr defaultColWidth="11" defaultRowHeight="15.75" outlineLevelRow="1"/>
  <cols>
    <col min="1" max="1" width="19.6875" customWidth="1"/>
    <col min="2" max="2" width="53" customWidth="1"/>
    <col min="3" max="3" width="26.5" style="8" customWidth="1"/>
    <col min="4" max="4" width="18.8125" customWidth="1"/>
    <col min="5" max="5" width="12.3125" customWidth="1"/>
    <col min="6" max="6" width="11.6875" customWidth="1"/>
    <col min="7" max="7" width="13.5" customWidth="1"/>
    <col min="8" max="8" width="11.5" customWidth="1"/>
  </cols>
  <sheetData>
    <row r="1" spans="1:12" ht="16.05" customHeight="1" thickBot="1">
      <c r="B1" s="7"/>
      <c r="C1" s="15"/>
      <c r="D1" s="7"/>
      <c r="E1" s="7"/>
      <c r="F1" s="7"/>
      <c r="G1" s="7"/>
      <c r="H1" s="7"/>
      <c r="I1" s="7"/>
      <c r="J1" s="7"/>
      <c r="K1" s="7"/>
      <c r="L1" s="7"/>
    </row>
    <row r="2" spans="1:12" ht="21.4" thickBot="1">
      <c r="A2" s="89" t="s">
        <v>143</v>
      </c>
      <c r="B2" s="90"/>
      <c r="C2" s="91"/>
      <c r="D2" s="5"/>
      <c r="E2" s="5"/>
      <c r="F2" s="5"/>
    </row>
    <row r="3" spans="1:12" ht="21">
      <c r="A3" s="93" t="s">
        <v>170</v>
      </c>
      <c r="B3" s="32" t="s">
        <v>172</v>
      </c>
      <c r="C3" s="33">
        <f>COUNTA('Study Hours Data'!A:A)-1</f>
        <v>58</v>
      </c>
      <c r="D3" s="5"/>
      <c r="E3" s="5"/>
      <c r="F3" s="5"/>
    </row>
    <row r="4" spans="1:12" ht="21">
      <c r="A4" s="94"/>
      <c r="B4" s="13" t="s">
        <v>171</v>
      </c>
      <c r="C4" s="31">
        <f>COUNT('Study Hours Data'!B:B)-1</f>
        <v>8</v>
      </c>
      <c r="D4" s="5"/>
      <c r="E4" s="5"/>
      <c r="F4" s="5"/>
    </row>
    <row r="5" spans="1:12" ht="21.4" thickBot="1">
      <c r="A5" s="95"/>
      <c r="B5" t="s">
        <v>173</v>
      </c>
      <c r="C5" s="31">
        <f>C3-C4</f>
        <v>50</v>
      </c>
      <c r="D5" s="5"/>
      <c r="E5" s="5"/>
      <c r="F5" s="5"/>
    </row>
    <row r="6" spans="1:12" ht="18">
      <c r="A6" s="93" t="s">
        <v>143</v>
      </c>
      <c r="B6" s="32" t="s">
        <v>144</v>
      </c>
      <c r="C6" s="35">
        <f>SUM('Study Hours Data'!B2:B1048576)</f>
        <v>30</v>
      </c>
      <c r="D6" s="10"/>
    </row>
    <row r="7" spans="1:12" ht="18">
      <c r="A7" s="96"/>
      <c r="B7" s="13" t="s">
        <v>142</v>
      </c>
      <c r="C7" s="16">
        <f>IF(((C4*'Goals Data'!B5)-C6)&lt;=0,0,(C4*'Goals Data'!B5)-C6)</f>
        <v>0</v>
      </c>
      <c r="D7" s="10"/>
    </row>
    <row r="8" spans="1:12" ht="18.399999999999999" thickBot="1">
      <c r="A8" s="95"/>
      <c r="B8" s="34" t="s">
        <v>145</v>
      </c>
      <c r="C8" s="36">
        <f>C4*'Goals Data'!B5</f>
        <v>20.689655172413794</v>
      </c>
      <c r="D8" s="11"/>
    </row>
    <row r="9" spans="1:12" ht="18">
      <c r="A9" s="93" t="s">
        <v>147</v>
      </c>
      <c r="B9" s="32" t="s">
        <v>4</v>
      </c>
      <c r="C9" s="37">
        <f>C6/C4</f>
        <v>3.75</v>
      </c>
    </row>
    <row r="10" spans="1:12" ht="18.399999999999999" thickBot="1">
      <c r="A10" s="95"/>
      <c r="B10" s="34" t="s">
        <v>146</v>
      </c>
      <c r="C10" s="38">
        <f>('Goals Data'!B3-C6)/C5</f>
        <v>2.4</v>
      </c>
      <c r="D10" s="6"/>
    </row>
    <row r="11" spans="1:12" ht="18.399999999999999" thickBot="1">
      <c r="A11" s="39" t="s">
        <v>148</v>
      </c>
      <c r="B11" s="40" t="s">
        <v>149</v>
      </c>
      <c r="C11" s="41">
        <f>('Goals Data'!B4*C6)/C4</f>
        <v>217.5</v>
      </c>
      <c r="D11" s="10"/>
    </row>
    <row r="12" spans="1:12" ht="18.399999999999999" thickBot="1">
      <c r="A12" s="39" t="s">
        <v>154</v>
      </c>
      <c r="B12" s="92" t="str" cm="1">
        <f t="array" ref="B12">_xlfn.IFS(C10='Goals Data'!B5,"You're on track!",C10&gt;'Goals Data'!B5,"At this rate, you'll have to spend "&amp;ROUND(C10,2)&amp;" hours daily! 😭",C10&lt;'Goals Data'!B5,"Great stuff! Keep going.")</f>
        <v>Great stuff! Keep going.</v>
      </c>
      <c r="C12" s="92"/>
    </row>
    <row r="13" spans="1:12" ht="18.399999999999999" thickBot="1">
      <c r="A13" s="80" t="s">
        <v>155</v>
      </c>
      <c r="B13" s="81"/>
      <c r="C13" s="82"/>
    </row>
    <row r="14" spans="1:12" ht="25.05" customHeight="1" thickBot="1"/>
    <row r="15" spans="1:12" ht="28.05" customHeight="1" outlineLevel="1">
      <c r="A15" s="86" t="s">
        <v>3</v>
      </c>
      <c r="B15" s="43" t="s">
        <v>133</v>
      </c>
      <c r="C15" s="44">
        <f>COUNTA('Excel Syllabus Data'!D2:D102)/COUNTA('Excel Syllabus Data'!C2:C102)</f>
        <v>0.11881188118811881</v>
      </c>
      <c r="H15" s="6"/>
      <c r="I15" s="42"/>
    </row>
    <row r="16" spans="1:12" ht="28.05" customHeight="1" outlineLevel="1">
      <c r="A16" s="87"/>
      <c r="B16" s="12" t="s">
        <v>140</v>
      </c>
      <c r="C16" s="45">
        <f>IF(SUM('Excel Syllabus Data'!E2:E102)=0,0,SUM('Excel Syllabus Data'!E2:E102)/(100*COUNT('Excel Syllabus Data'!E2:E102)))</f>
        <v>0.41666666666666669</v>
      </c>
    </row>
    <row r="17" spans="1:4" ht="28.05" customHeight="1" outlineLevel="1" thickBot="1">
      <c r="A17" s="88"/>
      <c r="B17" s="46" t="s">
        <v>152</v>
      </c>
      <c r="C17" s="47" t="str">
        <f>IF(C16="","Uninitiated",VLOOKUP(C16,'Goals Data'!$A$15:$B$18,2,1))</f>
        <v>Rookie</v>
      </c>
    </row>
    <row r="18" spans="1:4" ht="28.05" customHeight="1" thickBot="1">
      <c r="A18" s="50"/>
      <c r="B18" s="51"/>
      <c r="C18" s="52"/>
    </row>
    <row r="19" spans="1:4" ht="28.05" customHeight="1" thickBot="1">
      <c r="A19" s="80" t="s">
        <v>176</v>
      </c>
      <c r="B19" s="81"/>
      <c r="C19" s="82"/>
    </row>
    <row r="20" spans="1:4" ht="28.05" customHeight="1" outlineLevel="1">
      <c r="A20" s="83" t="s">
        <v>15</v>
      </c>
      <c r="B20" s="43" t="s">
        <v>133</v>
      </c>
      <c r="C20" s="44">
        <f>COUNTA('Excel Syllabus Data'!D5:D13)/COUNTA('Excel Syllabus Data'!C5:C13)</f>
        <v>1</v>
      </c>
    </row>
    <row r="21" spans="1:4" ht="28.05" customHeight="1" outlineLevel="1">
      <c r="A21" s="84"/>
      <c r="B21" s="12" t="s">
        <v>140</v>
      </c>
      <c r="C21" s="45">
        <f>IF(SUM('Excel Syllabus Data'!E2:E102)=0,0,SUM('Excel Syllabus Data'!E5:E13)/(100*COUNT('Excel Syllabus Data'!E5:E13)))</f>
        <v>0.41666666666666669</v>
      </c>
    </row>
    <row r="22" spans="1:4" ht="28.05" customHeight="1" outlineLevel="1" thickBot="1">
      <c r="A22" s="85"/>
      <c r="B22" s="46" t="s">
        <v>152</v>
      </c>
      <c r="C22" s="47" t="str">
        <f>IF(C21="","Uninitiated",VLOOKUP(C21,'Goals Data'!$A$15:$B$18,2,1))</f>
        <v>Rookie</v>
      </c>
    </row>
    <row r="23" spans="1:4" ht="28.05" customHeight="1" outlineLevel="1">
      <c r="A23" s="83" t="s">
        <v>28</v>
      </c>
      <c r="B23" s="43" t="s">
        <v>133</v>
      </c>
      <c r="C23" s="44">
        <f>COUNTA('Excel Syllabus Data'!D14:D38)/COUNTA('Excel Syllabus Data'!C14:C38)</f>
        <v>0</v>
      </c>
    </row>
    <row r="24" spans="1:4" ht="28.05" customHeight="1" outlineLevel="1">
      <c r="A24" s="84"/>
      <c r="B24" s="12" t="s">
        <v>140</v>
      </c>
      <c r="C24" s="74">
        <f>IF(SUM('Excel Syllabus Data'!E14:E38) = 0, 0, SUM('Excel Syllabus Data'!E14:E38)/(100*COUNT('Excel Syllabus Data'!E14:E38)))</f>
        <v>0</v>
      </c>
      <c r="D24" s="76"/>
    </row>
    <row r="25" spans="1:4" ht="28.05" customHeight="1" outlineLevel="1" thickBot="1">
      <c r="A25" s="85"/>
      <c r="B25" s="46" t="s">
        <v>152</v>
      </c>
      <c r="C25" s="52" t="str">
        <f>IF(C24="","Uninitiated",VLOOKUP(C24,'Goals Data'!$A$15:$B$18,2,1))</f>
        <v>Uninitiated</v>
      </c>
      <c r="D25" s="76"/>
    </row>
    <row r="26" spans="1:4" ht="28.05" customHeight="1" outlineLevel="1">
      <c r="A26" s="83" t="s">
        <v>60</v>
      </c>
      <c r="B26" s="43" t="s">
        <v>133</v>
      </c>
      <c r="C26" s="75">
        <f>COUNTA('Excel Syllabus Data'!D39:D88)/COUNTA('Excel Syllabus Data'!C39:C88)</f>
        <v>0</v>
      </c>
      <c r="D26" s="76"/>
    </row>
    <row r="27" spans="1:4" ht="28.05" customHeight="1" outlineLevel="1">
      <c r="A27" s="84"/>
      <c r="B27" s="12" t="s">
        <v>140</v>
      </c>
      <c r="C27" s="74">
        <f>IF(SUM('Excel Syllabus Data'!E39:E88) = 0, 0, SUM('Excel Syllabus Data'!E39:E88)/(100*COUNT('Excel Syllabus Data'!E39:E88)))</f>
        <v>0</v>
      </c>
      <c r="D27" s="76"/>
    </row>
    <row r="28" spans="1:4" ht="28.05" customHeight="1" outlineLevel="1" thickBot="1">
      <c r="A28" s="85"/>
      <c r="B28" s="46" t="s">
        <v>152</v>
      </c>
      <c r="C28" s="52" t="str">
        <f>IF(C27="","Uninitiated",VLOOKUP(C27,'Goals Data'!$A$15:$B$18,2,1))</f>
        <v>Uninitiated</v>
      </c>
      <c r="D28" s="76"/>
    </row>
    <row r="29" spans="1:4" ht="28.05" customHeight="1" outlineLevel="1">
      <c r="A29" s="86" t="s">
        <v>153</v>
      </c>
      <c r="B29" s="43" t="s">
        <v>133</v>
      </c>
      <c r="C29" s="75">
        <f>COUNTA('Excel Syllabus Data'!D89:D102)/COUNTA('Excel Syllabus Data'!C89:C102)</f>
        <v>0</v>
      </c>
      <c r="D29" s="76"/>
    </row>
    <row r="30" spans="1:4" ht="28.05" customHeight="1" outlineLevel="1">
      <c r="A30" s="87"/>
      <c r="B30" s="12" t="s">
        <v>140</v>
      </c>
      <c r="C30" s="74">
        <f>IF(SUM('Excel Syllabus Data'!E89:E102) = 0,0,SUM('Excel Syllabus Data'!E89:E102)/(100*COUNT('Excel Syllabus Data'!E89:E102)))</f>
        <v>0</v>
      </c>
      <c r="D30" s="76"/>
    </row>
    <row r="31" spans="1:4" ht="28.05" customHeight="1" outlineLevel="1" thickBot="1">
      <c r="A31" s="88"/>
      <c r="B31" s="46" t="s">
        <v>152</v>
      </c>
      <c r="C31" s="47" t="str">
        <f>IF(C30="","Uninitiated",VLOOKUP(C30,'Goals Data'!$A$15:$B$18,2,1))</f>
        <v>Uninitiated</v>
      </c>
    </row>
    <row r="33" spans="1:4" ht="18">
      <c r="A33" s="77" t="s">
        <v>169</v>
      </c>
      <c r="B33" s="78"/>
      <c r="C33" s="78"/>
      <c r="D33" s="79"/>
    </row>
    <row r="34" spans="1:4" outlineLevel="1">
      <c r="A34" s="29" t="s">
        <v>166</v>
      </c>
      <c r="B34" s="29" t="s">
        <v>167</v>
      </c>
      <c r="C34" s="29" t="s">
        <v>168</v>
      </c>
      <c r="D34" s="29" t="s">
        <v>156</v>
      </c>
    </row>
    <row r="35" spans="1:4" outlineLevel="1">
      <c r="A35" s="17" t="s">
        <v>159</v>
      </c>
      <c r="B35" s="17">
        <f>SUMIFS('Study Hours Data'!$B:$B,'Study Hours Data'!$E:$E,'Progress Summary'!A35)</f>
        <v>2</v>
      </c>
      <c r="C35" s="12">
        <f>COUNTIFS('Study Hours Data'!$E:$E,'Progress Summary'!A35)</f>
        <v>2</v>
      </c>
      <c r="D35" s="30">
        <f>B35/C35</f>
        <v>1</v>
      </c>
    </row>
    <row r="36" spans="1:4" outlineLevel="1">
      <c r="A36" s="17" t="s">
        <v>160</v>
      </c>
      <c r="B36" s="17">
        <f>SUMIFS('Study Hours Data'!$B:$B,'Study Hours Data'!$E:$E,'Progress Summary'!A36)</f>
        <v>2</v>
      </c>
      <c r="C36" s="12">
        <f>COUNTIFS('Study Hours Data'!$E:$E,'Progress Summary'!A36)</f>
        <v>1</v>
      </c>
      <c r="D36" s="30">
        <f t="shared" ref="D36:D41" si="0">B36/C36</f>
        <v>2</v>
      </c>
    </row>
    <row r="37" spans="1:4" outlineLevel="1">
      <c r="A37" s="17" t="s">
        <v>161</v>
      </c>
      <c r="B37" s="17">
        <f>SUMIFS('Study Hours Data'!$B:$B,'Study Hours Data'!$E:$E,'Progress Summary'!A37)</f>
        <v>2</v>
      </c>
      <c r="C37" s="12">
        <f>COUNTIFS('Study Hours Data'!$E:$E,'Progress Summary'!A37)</f>
        <v>1</v>
      </c>
      <c r="D37" s="30">
        <f t="shared" si="0"/>
        <v>2</v>
      </c>
    </row>
    <row r="38" spans="1:4" outlineLevel="1">
      <c r="A38" s="17" t="s">
        <v>162</v>
      </c>
      <c r="B38" s="17">
        <f>SUMIFS('Study Hours Data'!$B:$B,'Study Hours Data'!$E:$E,'Progress Summary'!A38)</f>
        <v>2</v>
      </c>
      <c r="C38" s="12">
        <f>COUNTIFS('Study Hours Data'!$E:$E,'Progress Summary'!A38)</f>
        <v>1</v>
      </c>
      <c r="D38" s="30">
        <f t="shared" si="0"/>
        <v>2</v>
      </c>
    </row>
    <row r="39" spans="1:4" outlineLevel="1">
      <c r="A39" s="17" t="s">
        <v>163</v>
      </c>
      <c r="B39" s="17">
        <f>SUMIFS('Study Hours Data'!$B:$B,'Study Hours Data'!$E:$E,'Progress Summary'!A39)</f>
        <v>2</v>
      </c>
      <c r="C39" s="12">
        <f>COUNTIFS('Study Hours Data'!$E:$E,'Progress Summary'!A39)</f>
        <v>1</v>
      </c>
      <c r="D39" s="30">
        <f t="shared" si="0"/>
        <v>2</v>
      </c>
    </row>
    <row r="40" spans="1:4" outlineLevel="1">
      <c r="A40" s="17" t="s">
        <v>164</v>
      </c>
      <c r="B40" s="17">
        <f>SUMIFS('Study Hours Data'!$B:$B,'Study Hours Data'!$E:$E,'Progress Summary'!A40)</f>
        <v>10</v>
      </c>
      <c r="C40" s="12">
        <f>COUNTIFS('Study Hours Data'!$E:$E,'Progress Summary'!A40)</f>
        <v>2</v>
      </c>
      <c r="D40" s="30">
        <f t="shared" si="0"/>
        <v>5</v>
      </c>
    </row>
    <row r="41" spans="1:4" outlineLevel="1">
      <c r="A41" s="17" t="s">
        <v>165</v>
      </c>
      <c r="B41" s="17">
        <f>SUMIFS('Study Hours Data'!$B:$B,'Study Hours Data'!$E:$E,'Progress Summary'!A41)</f>
        <v>10</v>
      </c>
      <c r="C41" s="12">
        <f>COUNTIFS('Study Hours Data'!$E:$E,'Progress Summary'!A41)</f>
        <v>2</v>
      </c>
      <c r="D41" s="30">
        <f t="shared" si="0"/>
        <v>5</v>
      </c>
    </row>
    <row r="49" ht="19.05" customHeight="1"/>
  </sheetData>
  <mergeCells count="13">
    <mergeCell ref="A15:A17"/>
    <mergeCell ref="A2:C2"/>
    <mergeCell ref="A13:C13"/>
    <mergeCell ref="B12:C12"/>
    <mergeCell ref="A3:A5"/>
    <mergeCell ref="A9:A10"/>
    <mergeCell ref="A6:A8"/>
    <mergeCell ref="A33:D33"/>
    <mergeCell ref="A19:C19"/>
    <mergeCell ref="A20:A22"/>
    <mergeCell ref="A23:A25"/>
    <mergeCell ref="A26:A28"/>
    <mergeCell ref="A29:A31"/>
  </mergeCells>
  <conditionalFormatting sqref="B12">
    <cfRule type="containsText" dxfId="23" priority="28" operator="containsText" text="rate">
      <formula>NOT(ISERROR(SEARCH("rate",B12)))</formula>
    </cfRule>
    <cfRule type="containsText" dxfId="22" priority="29" operator="containsText" text="track">
      <formula>NOT(ISERROR(SEARCH("track",B12)))</formula>
    </cfRule>
    <cfRule type="containsText" dxfId="21" priority="30" operator="containsText" text="Great">
      <formula>NOT(ISERROR(SEARCH("Great",B12)))</formula>
    </cfRule>
  </conditionalFormatting>
  <conditionalFormatting sqref="C10">
    <cfRule type="expression" dxfId="20" priority="22" stopIfTrue="1">
      <formula>$C$10&lt;=1.9</formula>
    </cfRule>
    <cfRule type="expression" dxfId="19" priority="23">
      <formula>$C$10&gt;2.5</formula>
    </cfRule>
    <cfRule type="expression" dxfId="18" priority="24">
      <formula>AND($C$10&gt;1.9,$C$10&lt;=2.5)</formula>
    </cfRule>
  </conditionalFormatting>
  <conditionalFormatting sqref="C15:C16 C20:C21 C23:C24 C26:C27 C29:C30">
    <cfRule type="dataBar" priority="21">
      <dataBar>
        <cfvo type="percent" val="0"/>
        <cfvo type="percent" val="100"/>
        <color theme="4" tint="0.39997558519241921"/>
      </dataBar>
      <extLst>
        <ext xmlns:x14="http://schemas.microsoft.com/office/spreadsheetml/2009/9/main" uri="{B025F937-C7B1-47D3-B67F-A62EFF666E3E}">
          <x14:id>{63E02270-2AF9-A147-8EB3-F12266ABE8CA}</x14:id>
        </ext>
      </extLst>
    </cfRule>
  </conditionalFormatting>
  <conditionalFormatting sqref="C17:C18 C22 C25">
    <cfRule type="containsText" dxfId="17" priority="16" stopIfTrue="1" operator="containsText" text="Legendary">
      <formula>NOT(ISERROR(SEARCH("Legendary",C17)))</formula>
    </cfRule>
    <cfRule type="containsText" dxfId="16" priority="17" stopIfTrue="1" operator="containsText" text="Professional">
      <formula>NOT(ISERROR(SEARCH("Professional",C17)))</formula>
    </cfRule>
    <cfRule type="containsText" dxfId="15" priority="18" stopIfTrue="1" operator="containsText" text="Rookie">
      <formula>NOT(ISERROR(SEARCH("Rookie",C17)))</formula>
    </cfRule>
    <cfRule type="containsText" dxfId="14" priority="19" stopIfTrue="1" operator="containsText" text="Uninitiated">
      <formula>NOT(ISERROR(SEARCH("Uninitiated",C17)))</formula>
    </cfRule>
    <cfRule type="containsText" dxfId="13" priority="20" stopIfTrue="1" operator="containsText" text="Skilled">
      <formula>NOT(ISERROR(SEARCH("Skilled",C17)))</formula>
    </cfRule>
  </conditionalFormatting>
  <conditionalFormatting sqref="C28">
    <cfRule type="containsText" dxfId="12" priority="6" stopIfTrue="1" operator="containsText" text="Legendary">
      <formula>NOT(ISERROR(SEARCH("Legendary",C28)))</formula>
    </cfRule>
    <cfRule type="containsText" dxfId="11" priority="7" stopIfTrue="1" operator="containsText" text="Professional">
      <formula>NOT(ISERROR(SEARCH("Professional",C28)))</formula>
    </cfRule>
    <cfRule type="containsText" dxfId="10" priority="8" stopIfTrue="1" operator="containsText" text="Rookie">
      <formula>NOT(ISERROR(SEARCH("Rookie",C28)))</formula>
    </cfRule>
    <cfRule type="containsText" dxfId="9" priority="9" stopIfTrue="1" operator="containsText" text="Uninitiated">
      <formula>NOT(ISERROR(SEARCH("Uninitiated",C28)))</formula>
    </cfRule>
    <cfRule type="containsText" dxfId="8" priority="10" stopIfTrue="1" operator="containsText" text="Skilled">
      <formula>NOT(ISERROR(SEARCH("Skilled",C28)))</formula>
    </cfRule>
  </conditionalFormatting>
  <conditionalFormatting sqref="C31">
    <cfRule type="containsText" dxfId="7" priority="1" stopIfTrue="1" operator="containsText" text="Legendary">
      <formula>NOT(ISERROR(SEARCH("Legendary",C31)))</formula>
    </cfRule>
    <cfRule type="containsText" dxfId="6" priority="2" stopIfTrue="1" operator="containsText" text="Professional">
      <formula>NOT(ISERROR(SEARCH("Professional",C31)))</formula>
    </cfRule>
    <cfRule type="containsText" dxfId="5" priority="3" stopIfTrue="1" operator="containsText" text="Rookie">
      <formula>NOT(ISERROR(SEARCH("Rookie",C31)))</formula>
    </cfRule>
    <cfRule type="containsText" dxfId="4" priority="4" stopIfTrue="1" operator="containsText" text="Uninitiated">
      <formula>NOT(ISERROR(SEARCH("Uninitiated",C31)))</formula>
    </cfRule>
    <cfRule type="containsText" dxfId="3" priority="5" stopIfTrue="1" operator="containsText" text="Skilled">
      <formula>NOT(ISERROR(SEARCH("Skilled",C31)))</formula>
    </cfRule>
  </conditionalFormatting>
  <conditionalFormatting sqref="D6:D7">
    <cfRule type="dataBar" priority="27">
      <dataBar>
        <cfvo type="percent" val="0"/>
        <cfvo type="percent" val="100"/>
        <color theme="9"/>
      </dataBar>
      <extLst>
        <ext xmlns:x14="http://schemas.microsoft.com/office/spreadsheetml/2009/9/main" uri="{B025F937-C7B1-47D3-B67F-A62EFF666E3E}">
          <x14:id>{CEE40D22-DF83-FD4E-8120-DFA7460519D4}</x14:id>
        </ext>
      </extLst>
    </cfRule>
  </conditionalFormatting>
  <conditionalFormatting sqref="D11">
    <cfRule type="dataBar" priority="26">
      <dataBar>
        <cfvo type="percent" val="0"/>
        <cfvo type="percent" val="100"/>
        <color theme="9"/>
      </dataBar>
      <extLst>
        <ext xmlns:x14="http://schemas.microsoft.com/office/spreadsheetml/2009/9/main" uri="{B025F937-C7B1-47D3-B67F-A62EFF666E3E}">
          <x14:id>{E687BE36-FD5C-C34C-B116-162BFCD7121A}</x14:id>
        </ext>
      </extLst>
    </cfRule>
  </conditionalFormatting>
  <conditionalFormatting sqref="D35:D4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E02270-2AF9-A147-8EB3-F12266ABE8CA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C15:C16 C20:C21 C23:C24 C26:C27 C29:C30</xm:sqref>
        </x14:conditionalFormatting>
        <x14:conditionalFormatting xmlns:xm="http://schemas.microsoft.com/office/excel/2006/main">
          <x14:cfRule type="dataBar" id="{CEE40D22-DF83-FD4E-8120-DFA7460519D4}">
            <x14:dataBar minLength="0" maxLength="100" border="1" gradient="0" direction="leftToRight">
              <x14:cfvo type="percent">
                <xm:f>0</xm:f>
              </x14:cfvo>
              <x14:cfvo type="percent">
                <xm:f>100</xm:f>
              </x14:cfvo>
              <x14:borderColor theme="9"/>
              <x14:negativeFillColor rgb="FFFF0000"/>
              <x14:axisColor rgb="FF000000"/>
            </x14:dataBar>
          </x14:cfRule>
          <xm:sqref>D6:D7</xm:sqref>
        </x14:conditionalFormatting>
        <x14:conditionalFormatting xmlns:xm="http://schemas.microsoft.com/office/excel/2006/main">
          <x14:cfRule type="dataBar" id="{E687BE36-FD5C-C34C-B116-162BFCD7121A}">
            <x14:dataBar minLength="0" maxLength="100" border="1" gradient="0">
              <x14:cfvo type="percent">
                <xm:f>0</xm:f>
              </x14:cfvo>
              <x14:cfvo type="percent">
                <xm:f>100</xm:f>
              </x14:cfvo>
              <x14:borderColor theme="9"/>
              <x14:negativeFillColor rgb="FFFF0000"/>
              <x14:axisColor rgb="FF000000"/>
            </x14:dataBar>
          </x14:cfRule>
          <xm:sqref>D11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554E-4398-2A41-B3B0-06CB4C9E6351}">
  <dimension ref="A2:J7"/>
  <sheetViews>
    <sheetView showGridLines="0" tabSelected="1" zoomScale="110" zoomScaleNormal="110" workbookViewId="0">
      <selection activeCell="D49" sqref="D49"/>
    </sheetView>
  </sheetViews>
  <sheetFormatPr defaultColWidth="11" defaultRowHeight="15.75"/>
  <sheetData>
    <row r="2" spans="1:10" ht="19.05" customHeight="1">
      <c r="A2" s="14"/>
      <c r="B2" s="14"/>
    </row>
    <row r="3" spans="1:10" ht="16.05" customHeight="1">
      <c r="A3" s="14"/>
      <c r="B3" s="14"/>
    </row>
    <row r="4" spans="1:10" ht="19.05" customHeight="1">
      <c r="A4" s="14"/>
      <c r="B4" s="14"/>
    </row>
    <row r="5" spans="1:10" ht="19.05" customHeight="1">
      <c r="A5" s="14"/>
      <c r="B5" s="14"/>
    </row>
    <row r="7" spans="1:10">
      <c r="H7" s="97"/>
      <c r="I7" s="97"/>
      <c r="J7" s="97"/>
    </row>
  </sheetData>
  <mergeCells count="1">
    <mergeCell ref="H7:J7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82E8-E204-1F4F-9EE9-AD4038FBC775}">
  <dimension ref="A2:B19"/>
  <sheetViews>
    <sheetView zoomScale="290" workbookViewId="0">
      <selection activeCell="A22" sqref="A22"/>
    </sheetView>
  </sheetViews>
  <sheetFormatPr defaultColWidth="10.8125" defaultRowHeight="15.75"/>
  <cols>
    <col min="1" max="1" width="25.6875" style="8" customWidth="1"/>
    <col min="2" max="16384" width="10.8125" style="8"/>
  </cols>
  <sheetData>
    <row r="2" spans="1:2" ht="21">
      <c r="A2" s="98" t="s">
        <v>8</v>
      </c>
      <c r="B2" s="98"/>
    </row>
    <row r="3" spans="1:2">
      <c r="A3" s="12" t="s">
        <v>174</v>
      </c>
      <c r="B3" s="12">
        <v>150</v>
      </c>
    </row>
    <row r="4" spans="1:2">
      <c r="A4" s="12" t="s">
        <v>5</v>
      </c>
      <c r="B4" s="12">
        <f>COUNT('Study Hours Data'!A:A)</f>
        <v>58</v>
      </c>
    </row>
    <row r="5" spans="1:2">
      <c r="A5" s="12" t="s">
        <v>175</v>
      </c>
      <c r="B5" s="30">
        <f>B3/B4</f>
        <v>2.5862068965517242</v>
      </c>
    </row>
    <row r="8" spans="1:2">
      <c r="A8" s="48" t="s">
        <v>151</v>
      </c>
      <c r="B8" s="48" t="s">
        <v>141</v>
      </c>
    </row>
    <row r="9" spans="1:2">
      <c r="A9" s="12" t="s">
        <v>134</v>
      </c>
      <c r="B9" s="12">
        <v>25</v>
      </c>
    </row>
    <row r="10" spans="1:2">
      <c r="A10" s="12" t="s">
        <v>135</v>
      </c>
      <c r="B10" s="12">
        <v>50</v>
      </c>
    </row>
    <row r="11" spans="1:2">
      <c r="A11" s="12" t="s">
        <v>136</v>
      </c>
      <c r="B11" s="12">
        <v>100</v>
      </c>
    </row>
    <row r="14" spans="1:2">
      <c r="A14" s="48" t="s">
        <v>152</v>
      </c>
      <c r="B14" s="48" t="s">
        <v>141</v>
      </c>
    </row>
    <row r="15" spans="1:2">
      <c r="A15" s="49">
        <v>0</v>
      </c>
      <c r="B15" s="12" t="s">
        <v>201</v>
      </c>
    </row>
    <row r="16" spans="1:2">
      <c r="A16" s="49">
        <v>0.25</v>
      </c>
      <c r="B16" s="12" t="s">
        <v>138</v>
      </c>
    </row>
    <row r="17" spans="1:2">
      <c r="A17" s="49">
        <v>0.5</v>
      </c>
      <c r="B17" s="12" t="s">
        <v>137</v>
      </c>
    </row>
    <row r="18" spans="1:2">
      <c r="A18" s="49">
        <v>0.9</v>
      </c>
      <c r="B18" s="12" t="s">
        <v>150</v>
      </c>
    </row>
    <row r="19" spans="1:2">
      <c r="A19" s="49">
        <v>1</v>
      </c>
      <c r="B19" s="12" t="s">
        <v>139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EB76-B198-4643-BC1B-17198C9D09CB}">
  <dimension ref="A1:G114"/>
  <sheetViews>
    <sheetView topLeftCell="B1" zoomScale="187" workbookViewId="0">
      <selection activeCell="E14" sqref="E14"/>
    </sheetView>
  </sheetViews>
  <sheetFormatPr defaultColWidth="11" defaultRowHeight="15.75"/>
  <cols>
    <col min="1" max="1" width="27.5" customWidth="1"/>
    <col min="2" max="2" width="24.1875" style="72" customWidth="1"/>
    <col min="3" max="3" width="74.8125" customWidth="1"/>
    <col min="4" max="4" width="26" style="4" customWidth="1"/>
    <col min="5" max="5" width="10.5" style="4" customWidth="1"/>
    <col min="6" max="6" width="10.8125" style="69"/>
    <col min="7" max="7" width="19.6875" customWidth="1"/>
    <col min="12" max="12" width="12.3125" customWidth="1"/>
  </cols>
  <sheetData>
    <row r="1" spans="1:7" ht="18.399999999999999" thickBot="1">
      <c r="A1" s="18" t="s">
        <v>9</v>
      </c>
      <c r="B1" s="70" t="s">
        <v>10</v>
      </c>
      <c r="C1" s="18" t="s">
        <v>11</v>
      </c>
      <c r="D1" s="18" t="s">
        <v>151</v>
      </c>
      <c r="E1" s="18" t="s">
        <v>141</v>
      </c>
    </row>
    <row r="2" spans="1:7" ht="19.05" customHeight="1">
      <c r="A2" s="99" t="s">
        <v>12</v>
      </c>
      <c r="B2" s="63" t="s">
        <v>177</v>
      </c>
      <c r="C2" s="61" t="s">
        <v>178</v>
      </c>
      <c r="D2" s="19" t="s">
        <v>135</v>
      </c>
      <c r="E2" s="24">
        <f>IFERROR(VLOOKUP(D2,'Goals Data'!$A$8:$B$11,2,0),"")</f>
        <v>50</v>
      </c>
      <c r="G2" s="6"/>
    </row>
    <row r="3" spans="1:7" ht="19.05" customHeight="1">
      <c r="A3" s="99"/>
      <c r="B3" s="63" t="s">
        <v>179</v>
      </c>
      <c r="C3" s="68" t="s">
        <v>13</v>
      </c>
      <c r="D3" s="17" t="s">
        <v>135</v>
      </c>
      <c r="E3" s="24">
        <f>IFERROR(VLOOKUP(D3,'Goals Data'!$A$8:$B$11,2,0),"")</f>
        <v>50</v>
      </c>
    </row>
    <row r="4" spans="1:7" ht="20" customHeight="1" thickBot="1">
      <c r="A4" s="100"/>
      <c r="B4" s="71" t="s">
        <v>180</v>
      </c>
      <c r="C4" s="56" t="s">
        <v>14</v>
      </c>
      <c r="D4" s="20" t="s">
        <v>134</v>
      </c>
      <c r="E4" s="24">
        <f>IFERROR(VLOOKUP(D4,'Goals Data'!$A$8:$B$11,2,0),"")</f>
        <v>25</v>
      </c>
    </row>
    <row r="5" spans="1:7" ht="19.05" customHeight="1">
      <c r="A5" s="101" t="s">
        <v>15</v>
      </c>
      <c r="B5" s="63" t="s">
        <v>16</v>
      </c>
      <c r="C5" s="57" t="s">
        <v>17</v>
      </c>
      <c r="D5" s="19" t="s">
        <v>135</v>
      </c>
      <c r="E5" s="24">
        <f>IFERROR(VLOOKUP(D5,'Goals Data'!$A$8:$B$11,2,0),"")</f>
        <v>50</v>
      </c>
    </row>
    <row r="6" spans="1:7" ht="19.05" customHeight="1">
      <c r="A6" s="102"/>
      <c r="B6" s="104" t="s">
        <v>18</v>
      </c>
      <c r="C6" s="55" t="s">
        <v>19</v>
      </c>
      <c r="D6" s="17" t="s">
        <v>135</v>
      </c>
      <c r="E6" s="24">
        <f>IFERROR(VLOOKUP(D6,'Goals Data'!$A$8:$B$11,2,0),"")</f>
        <v>50</v>
      </c>
    </row>
    <row r="7" spans="1:7" ht="20" customHeight="1">
      <c r="A7" s="102"/>
      <c r="B7" s="105"/>
      <c r="C7" s="68" t="s">
        <v>20</v>
      </c>
      <c r="D7" s="17" t="s">
        <v>134</v>
      </c>
      <c r="E7" s="24">
        <f>IFERROR(VLOOKUP(D7,'Goals Data'!$A$8:$B$11,2,0),"")</f>
        <v>25</v>
      </c>
    </row>
    <row r="8" spans="1:7" ht="20" customHeight="1">
      <c r="A8" s="102"/>
      <c r="B8" s="58" t="s">
        <v>21</v>
      </c>
      <c r="C8" s="55" t="s">
        <v>181</v>
      </c>
      <c r="D8" s="17" t="s">
        <v>135</v>
      </c>
      <c r="E8" s="24">
        <f>IFERROR(VLOOKUP(D8,'Goals Data'!$A$8:$B$11,2,0),"")</f>
        <v>50</v>
      </c>
    </row>
    <row r="9" spans="1:7" ht="19.05" customHeight="1">
      <c r="A9" s="102"/>
      <c r="B9" s="104" t="s">
        <v>22</v>
      </c>
      <c r="C9" s="59" t="s">
        <v>23</v>
      </c>
      <c r="D9" s="17" t="s">
        <v>135</v>
      </c>
      <c r="E9" s="24">
        <f>IFERROR(VLOOKUP(D9,'Goals Data'!$A$8:$B$11,2,0),"")</f>
        <v>50</v>
      </c>
    </row>
    <row r="10" spans="1:7" ht="20" customHeight="1">
      <c r="A10" s="102"/>
      <c r="B10" s="106"/>
      <c r="C10" s="55" t="s">
        <v>24</v>
      </c>
      <c r="D10" s="17" t="s">
        <v>134</v>
      </c>
      <c r="E10" s="24">
        <f>IFERROR(VLOOKUP(D10,'Goals Data'!$A$8:$B$11,2,0),"")</f>
        <v>25</v>
      </c>
    </row>
    <row r="11" spans="1:7" ht="19.05" customHeight="1">
      <c r="A11" s="102"/>
      <c r="B11" s="106"/>
      <c r="C11" s="59" t="s">
        <v>25</v>
      </c>
      <c r="D11" s="17" t="s">
        <v>135</v>
      </c>
      <c r="E11" s="24">
        <f>IFERROR(VLOOKUP(D11,'Goals Data'!$A$8:$B$11,2,0),"")</f>
        <v>50</v>
      </c>
    </row>
    <row r="12" spans="1:7" ht="19.05" customHeight="1">
      <c r="A12" s="102"/>
      <c r="B12" s="106"/>
      <c r="C12" s="55" t="s">
        <v>26</v>
      </c>
      <c r="D12" s="17" t="s">
        <v>135</v>
      </c>
      <c r="E12" s="24">
        <f>IFERROR(VLOOKUP(D12,'Goals Data'!$A$8:$B$11,2,0),"")</f>
        <v>50</v>
      </c>
    </row>
    <row r="13" spans="1:7" ht="20" customHeight="1" thickBot="1">
      <c r="A13" s="103"/>
      <c r="B13" s="107"/>
      <c r="C13" s="60" t="s">
        <v>27</v>
      </c>
      <c r="D13" s="20" t="s">
        <v>134</v>
      </c>
      <c r="E13" s="24">
        <f>IFERROR(VLOOKUP(D13,'Goals Data'!$A$8:$B$11,2,0),"")</f>
        <v>25</v>
      </c>
    </row>
    <row r="14" spans="1:7" ht="19.05" customHeight="1">
      <c r="A14" s="101" t="s">
        <v>28</v>
      </c>
      <c r="B14" s="108" t="s">
        <v>29</v>
      </c>
      <c r="C14" s="61" t="s">
        <v>30</v>
      </c>
      <c r="D14" s="19"/>
      <c r="E14" s="24" t="str">
        <f>IFERROR(VLOOKUP(D14,'Goals Data'!$A$8:$B$11,2,0),"")</f>
        <v/>
      </c>
    </row>
    <row r="15" spans="1:7" ht="19.05" customHeight="1">
      <c r="A15" s="102"/>
      <c r="B15" s="108"/>
      <c r="C15" s="59" t="s">
        <v>31</v>
      </c>
      <c r="D15" s="17"/>
      <c r="E15" s="24" t="str">
        <f>IFERROR(VLOOKUP(D15,'Goals Data'!$A$8:$B$11,2,0),"")</f>
        <v/>
      </c>
    </row>
    <row r="16" spans="1:7" ht="19.05" customHeight="1">
      <c r="A16" s="102"/>
      <c r="B16" s="108"/>
      <c r="C16" s="55" t="s">
        <v>32</v>
      </c>
      <c r="D16" s="17"/>
      <c r="E16" s="24" t="str">
        <f>IFERROR(VLOOKUP(D16,'Goals Data'!$A$8:$B$11,2,0),"")</f>
        <v/>
      </c>
    </row>
    <row r="17" spans="1:5" ht="19.05" customHeight="1">
      <c r="A17" s="102"/>
      <c r="B17" s="108"/>
      <c r="C17" s="59" t="s">
        <v>33</v>
      </c>
      <c r="D17" s="17"/>
      <c r="E17" s="24" t="str">
        <f>IFERROR(VLOOKUP(D17,'Goals Data'!$A$8:$B$11,2,0),"")</f>
        <v/>
      </c>
    </row>
    <row r="18" spans="1:5" ht="19.05" customHeight="1">
      <c r="A18" s="102"/>
      <c r="B18" s="108"/>
      <c r="C18" s="55" t="s">
        <v>34</v>
      </c>
      <c r="D18" s="17"/>
      <c r="E18" s="24" t="str">
        <f>IFERROR(VLOOKUP(D18,'Goals Data'!$A$8:$B$11,2,0),"")</f>
        <v/>
      </c>
    </row>
    <row r="19" spans="1:5" ht="19.05" customHeight="1">
      <c r="A19" s="102"/>
      <c r="B19" s="108"/>
      <c r="C19" s="59" t="s">
        <v>35</v>
      </c>
      <c r="D19" s="17"/>
      <c r="E19" s="24" t="str">
        <f>IFERROR(VLOOKUP(D19,'Goals Data'!$A$8:$B$11,2,0),"")</f>
        <v/>
      </c>
    </row>
    <row r="20" spans="1:5" ht="17" customHeight="1">
      <c r="A20" s="102"/>
      <c r="B20" s="108"/>
      <c r="C20" s="55" t="s">
        <v>182</v>
      </c>
      <c r="D20" s="17"/>
      <c r="E20" s="24" t="str">
        <f>IFERROR(VLOOKUP(D20,'Goals Data'!$A$8:$B$11,2,0),"")</f>
        <v/>
      </c>
    </row>
    <row r="21" spans="1:5" ht="19.05" customHeight="1">
      <c r="A21" s="102"/>
      <c r="B21" s="109" t="s">
        <v>36</v>
      </c>
      <c r="C21" s="59" t="s">
        <v>37</v>
      </c>
      <c r="D21" s="17"/>
      <c r="E21" s="24" t="str">
        <f>IFERROR(VLOOKUP(D21,'Goals Data'!$A$8:$B$11,2,0),"")</f>
        <v/>
      </c>
    </row>
    <row r="22" spans="1:5" ht="20" customHeight="1">
      <c r="A22" s="102"/>
      <c r="B22" s="109"/>
      <c r="C22" s="55" t="s">
        <v>38</v>
      </c>
      <c r="D22" s="17"/>
      <c r="E22" s="24" t="str">
        <f>IFERROR(VLOOKUP(D22,'Goals Data'!$A$8:$B$11,2,0),"")</f>
        <v/>
      </c>
    </row>
    <row r="23" spans="1:5" ht="19.05" customHeight="1">
      <c r="A23" s="102"/>
      <c r="B23" s="58" t="s">
        <v>39</v>
      </c>
      <c r="C23" s="59" t="s">
        <v>40</v>
      </c>
      <c r="D23" s="17"/>
      <c r="E23" s="24" t="str">
        <f>IFERROR(VLOOKUP(D23,'Goals Data'!$A$8:$B$11,2,0),"")</f>
        <v/>
      </c>
    </row>
    <row r="24" spans="1:5" ht="19.05" customHeight="1">
      <c r="A24" s="102"/>
      <c r="B24" s="109" t="s">
        <v>41</v>
      </c>
      <c r="C24" s="55" t="s">
        <v>42</v>
      </c>
      <c r="D24" s="17"/>
      <c r="E24" s="24" t="str">
        <f>IFERROR(VLOOKUP(D24,'Goals Data'!$A$8:$B$11,2,0),"")</f>
        <v/>
      </c>
    </row>
    <row r="25" spans="1:5" ht="19.05" customHeight="1">
      <c r="A25" s="102"/>
      <c r="B25" s="109"/>
      <c r="C25" s="59" t="s">
        <v>43</v>
      </c>
      <c r="D25" s="17"/>
      <c r="E25" s="24" t="str">
        <f>IFERROR(VLOOKUP(D25,'Goals Data'!$A$8:$B$11,2,0),"")</f>
        <v/>
      </c>
    </row>
    <row r="26" spans="1:5" ht="19.05" customHeight="1">
      <c r="A26" s="102"/>
      <c r="B26" s="109"/>
      <c r="C26" s="55" t="s">
        <v>44</v>
      </c>
      <c r="D26" s="17"/>
      <c r="E26" s="24" t="str">
        <f>IFERROR(VLOOKUP(D26,'Goals Data'!$A$8:$B$11,2,0),"")</f>
        <v/>
      </c>
    </row>
    <row r="27" spans="1:5" ht="19.05" customHeight="1">
      <c r="A27" s="102"/>
      <c r="B27" s="108" t="s">
        <v>48</v>
      </c>
      <c r="C27" s="59" t="s">
        <v>49</v>
      </c>
      <c r="D27" s="17"/>
      <c r="E27" s="24" t="str">
        <f>IFERROR(VLOOKUP(D27,'Goals Data'!$A$8:$B$11,2,0),"")</f>
        <v/>
      </c>
    </row>
    <row r="28" spans="1:5" ht="19.05" customHeight="1">
      <c r="A28" s="102"/>
      <c r="B28" s="108"/>
      <c r="C28" s="55" t="s">
        <v>50</v>
      </c>
      <c r="D28" s="17"/>
      <c r="E28" s="24" t="str">
        <f>IFERROR(VLOOKUP(D28,'Goals Data'!$A$8:$B$11,2,0),"")</f>
        <v/>
      </c>
    </row>
    <row r="29" spans="1:5" ht="19.05" customHeight="1">
      <c r="A29" s="102"/>
      <c r="B29" s="104" t="s">
        <v>51</v>
      </c>
      <c r="C29" s="59" t="s">
        <v>183</v>
      </c>
      <c r="D29" s="17"/>
      <c r="E29" s="24" t="str">
        <f>IFERROR(VLOOKUP(D29,'Goals Data'!$A$8:$B$11,2,0),"")</f>
        <v/>
      </c>
    </row>
    <row r="30" spans="1:5" ht="19.05" customHeight="1">
      <c r="A30" s="102"/>
      <c r="B30" s="106"/>
      <c r="C30" s="55" t="s">
        <v>184</v>
      </c>
      <c r="D30" s="17"/>
      <c r="E30" s="24" t="str">
        <f>IFERROR(VLOOKUP(D30,'Goals Data'!$A$8:$B$11,2,0),"")</f>
        <v/>
      </c>
    </row>
    <row r="31" spans="1:5" ht="19.05" customHeight="1">
      <c r="A31" s="102"/>
      <c r="B31" s="106"/>
      <c r="C31" s="59" t="s">
        <v>52</v>
      </c>
      <c r="D31" s="17"/>
      <c r="E31" s="24" t="str">
        <f>IFERROR(VLOOKUP(D31,'Goals Data'!$A$8:$B$11,2,0),"")</f>
        <v/>
      </c>
    </row>
    <row r="32" spans="1:5" ht="19.05" customHeight="1">
      <c r="A32" s="102"/>
      <c r="B32" s="106"/>
      <c r="C32" s="55" t="s">
        <v>53</v>
      </c>
      <c r="D32" s="17"/>
      <c r="E32" s="24" t="str">
        <f>IFERROR(VLOOKUP(D32,'Goals Data'!$A$8:$B$11,2,0),"")</f>
        <v/>
      </c>
    </row>
    <row r="33" spans="1:5" ht="19.05" customHeight="1">
      <c r="A33" s="102"/>
      <c r="B33" s="106"/>
      <c r="C33" s="59" t="s">
        <v>54</v>
      </c>
      <c r="D33" s="17"/>
      <c r="E33" s="24" t="str">
        <f>IFERROR(VLOOKUP(D33,'Goals Data'!$A$8:$B$11,2,0),"")</f>
        <v/>
      </c>
    </row>
    <row r="34" spans="1:5" ht="19.05" customHeight="1">
      <c r="A34" s="102"/>
      <c r="B34" s="106"/>
      <c r="C34" s="55" t="s">
        <v>55</v>
      </c>
      <c r="D34" s="17"/>
      <c r="E34" s="24" t="str">
        <f>IFERROR(VLOOKUP(D34,'Goals Data'!$A$8:$B$11,2,0),"")</f>
        <v/>
      </c>
    </row>
    <row r="35" spans="1:5" ht="19.05" customHeight="1">
      <c r="A35" s="102"/>
      <c r="B35" s="106"/>
      <c r="C35" s="59" t="s">
        <v>56</v>
      </c>
      <c r="D35" s="17"/>
      <c r="E35" s="24" t="str">
        <f>IFERROR(VLOOKUP(D35,'Goals Data'!$A$8:$B$11,2,0),"")</f>
        <v/>
      </c>
    </row>
    <row r="36" spans="1:5" ht="19.05" customHeight="1">
      <c r="A36" s="102"/>
      <c r="B36" s="106"/>
      <c r="C36" s="55" t="s">
        <v>57</v>
      </c>
      <c r="D36" s="17"/>
      <c r="E36" s="24" t="str">
        <f>IFERROR(VLOOKUP(D36,'Goals Data'!$A$8:$B$11,2,0),"")</f>
        <v/>
      </c>
    </row>
    <row r="37" spans="1:5" ht="19.05" customHeight="1">
      <c r="A37" s="102"/>
      <c r="B37" s="106"/>
      <c r="C37" s="59" t="s">
        <v>58</v>
      </c>
      <c r="D37" s="17"/>
      <c r="E37" s="24" t="str">
        <f>IFERROR(VLOOKUP(D37,'Goals Data'!$A$8:$B$11,2,0),"")</f>
        <v/>
      </c>
    </row>
    <row r="38" spans="1:5" ht="19.05" customHeight="1" thickBot="1">
      <c r="A38" s="103"/>
      <c r="B38" s="107"/>
      <c r="C38" s="56" t="s">
        <v>59</v>
      </c>
      <c r="D38" s="20"/>
      <c r="E38" s="24" t="str">
        <f>IFERROR(VLOOKUP(D38,'Goals Data'!$A$8:$B$11,2,0),"")</f>
        <v/>
      </c>
    </row>
    <row r="39" spans="1:5" ht="20" customHeight="1">
      <c r="A39" s="101" t="s">
        <v>60</v>
      </c>
      <c r="B39" s="108" t="s">
        <v>61</v>
      </c>
      <c r="C39" s="57" t="s">
        <v>62</v>
      </c>
      <c r="D39" s="19"/>
      <c r="E39" s="24" t="str">
        <f>IFERROR(VLOOKUP(D39,'Goals Data'!$A$8:$B$11,2,0),"")</f>
        <v/>
      </c>
    </row>
    <row r="40" spans="1:5" ht="19.05" customHeight="1">
      <c r="A40" s="102"/>
      <c r="B40" s="108"/>
      <c r="C40" s="55" t="s">
        <v>63</v>
      </c>
      <c r="D40" s="17"/>
      <c r="E40" s="24" t="str">
        <f>IFERROR(VLOOKUP(D40,'Goals Data'!$A$8:$B$11,2,0),"")</f>
        <v/>
      </c>
    </row>
    <row r="41" spans="1:5" ht="19.05" customHeight="1">
      <c r="A41" s="102"/>
      <c r="B41" s="108"/>
      <c r="C41" s="59" t="s">
        <v>64</v>
      </c>
      <c r="D41" s="17"/>
      <c r="E41" s="24" t="str">
        <f>IFERROR(VLOOKUP(D41,'Goals Data'!$A$8:$B$11,2,0),"")</f>
        <v/>
      </c>
    </row>
    <row r="42" spans="1:5" ht="19.05" customHeight="1">
      <c r="A42" s="102"/>
      <c r="B42" s="108"/>
      <c r="C42" s="55" t="s">
        <v>65</v>
      </c>
      <c r="D42" s="17"/>
      <c r="E42" s="24" t="str">
        <f>IFERROR(VLOOKUP(D42,'Goals Data'!$A$8:$B$11,2,0),"")</f>
        <v/>
      </c>
    </row>
    <row r="43" spans="1:5" ht="19.05" customHeight="1">
      <c r="A43" s="102"/>
      <c r="B43" s="108"/>
      <c r="C43" s="59" t="s">
        <v>66</v>
      </c>
      <c r="D43" s="17"/>
      <c r="E43" s="24" t="str">
        <f>IFERROR(VLOOKUP(D43,'Goals Data'!$A$8:$B$11,2,0),"")</f>
        <v/>
      </c>
    </row>
    <row r="44" spans="1:5" ht="19.05" customHeight="1">
      <c r="A44" s="102"/>
      <c r="B44" s="109" t="s">
        <v>67</v>
      </c>
      <c r="C44" s="55" t="s">
        <v>68</v>
      </c>
      <c r="D44" s="17"/>
      <c r="E44" s="24" t="str">
        <f>IFERROR(VLOOKUP(D44,'Goals Data'!$A$8:$B$11,2,0),"")</f>
        <v/>
      </c>
    </row>
    <row r="45" spans="1:5" ht="19.05" customHeight="1">
      <c r="A45" s="102"/>
      <c r="B45" s="109"/>
      <c r="C45" s="59" t="s">
        <v>69</v>
      </c>
      <c r="D45" s="17"/>
      <c r="E45" s="24" t="str">
        <f>IFERROR(VLOOKUP(D45,'Goals Data'!$A$8:$B$11,2,0),"")</f>
        <v/>
      </c>
    </row>
    <row r="46" spans="1:5" ht="19.05" customHeight="1">
      <c r="A46" s="102"/>
      <c r="B46" s="109"/>
      <c r="C46" s="55" t="s">
        <v>70</v>
      </c>
      <c r="D46" s="17"/>
      <c r="E46" s="24" t="str">
        <f>IFERROR(VLOOKUP(D46,'Goals Data'!$A$8:$B$11,2,0),"")</f>
        <v/>
      </c>
    </row>
    <row r="47" spans="1:5" ht="19.05" customHeight="1">
      <c r="A47" s="102"/>
      <c r="B47" s="109"/>
      <c r="C47" s="59" t="s">
        <v>71</v>
      </c>
      <c r="D47" s="17"/>
      <c r="E47" s="24" t="str">
        <f>IFERROR(VLOOKUP(D47,'Goals Data'!$A$8:$B$11,2,0),"")</f>
        <v/>
      </c>
    </row>
    <row r="48" spans="1:5" ht="19.05" customHeight="1">
      <c r="A48" s="102"/>
      <c r="B48" s="109"/>
      <c r="C48" s="55" t="s">
        <v>72</v>
      </c>
      <c r="D48" s="17"/>
      <c r="E48" s="24" t="str">
        <f>IFERROR(VLOOKUP(D48,'Goals Data'!$A$8:$B$11,2,0),"")</f>
        <v/>
      </c>
    </row>
    <row r="49" spans="1:5" ht="19.05" customHeight="1">
      <c r="A49" s="102"/>
      <c r="B49" s="104" t="s">
        <v>73</v>
      </c>
      <c r="C49" s="59" t="s">
        <v>74</v>
      </c>
      <c r="D49" s="17"/>
      <c r="E49" s="24" t="str">
        <f>IFERROR(VLOOKUP(D49,'Goals Data'!$A$8:$B$11,2,0),"")</f>
        <v/>
      </c>
    </row>
    <row r="50" spans="1:5" ht="19.05" customHeight="1">
      <c r="A50" s="102"/>
      <c r="B50" s="106"/>
      <c r="C50" s="55" t="s">
        <v>75</v>
      </c>
      <c r="D50" s="17"/>
      <c r="E50" s="24" t="str">
        <f>IFERROR(VLOOKUP(D50,'Goals Data'!$A$8:$B$11,2,0),"")</f>
        <v/>
      </c>
    </row>
    <row r="51" spans="1:5" ht="19.05" customHeight="1">
      <c r="A51" s="102"/>
      <c r="B51" s="105"/>
      <c r="C51" s="59" t="s">
        <v>76</v>
      </c>
      <c r="D51" s="17"/>
      <c r="E51" s="24" t="str">
        <f>IFERROR(VLOOKUP(D51,'Goals Data'!$A$8:$B$11,2,0),"")</f>
        <v/>
      </c>
    </row>
    <row r="52" spans="1:5" ht="19.05" customHeight="1">
      <c r="A52" s="102"/>
      <c r="B52" s="104" t="s">
        <v>77</v>
      </c>
      <c r="C52" s="55" t="s">
        <v>78</v>
      </c>
      <c r="D52" s="17"/>
      <c r="E52" s="24" t="str">
        <f>IFERROR(VLOOKUP(D52,'Goals Data'!$A$8:$B$11,2,0),"")</f>
        <v/>
      </c>
    </row>
    <row r="53" spans="1:5" ht="19.05" customHeight="1">
      <c r="A53" s="102"/>
      <c r="B53" s="106"/>
      <c r="C53" s="59" t="s">
        <v>79</v>
      </c>
      <c r="D53" s="17"/>
      <c r="E53" s="24" t="str">
        <f>IFERROR(VLOOKUP(D53,'Goals Data'!$A$8:$B$11,2,0),"")</f>
        <v/>
      </c>
    </row>
    <row r="54" spans="1:5" ht="19.05" customHeight="1">
      <c r="A54" s="102"/>
      <c r="B54" s="106"/>
      <c r="C54" s="55" t="s">
        <v>80</v>
      </c>
      <c r="D54" s="17"/>
      <c r="E54" s="24" t="str">
        <f>IFERROR(VLOOKUP(D54,'Goals Data'!$A$8:$B$11,2,0),"")</f>
        <v/>
      </c>
    </row>
    <row r="55" spans="1:5" ht="19.05" customHeight="1">
      <c r="A55" s="102"/>
      <c r="B55" s="106"/>
      <c r="C55" s="59" t="s">
        <v>81</v>
      </c>
      <c r="D55" s="17"/>
      <c r="E55" s="24" t="str">
        <f>IFERROR(VLOOKUP(D55,'Goals Data'!$A$8:$B$11,2,0),"")</f>
        <v/>
      </c>
    </row>
    <row r="56" spans="1:5" ht="19.05" customHeight="1">
      <c r="A56" s="102"/>
      <c r="B56" s="105"/>
      <c r="C56" s="55" t="s">
        <v>82</v>
      </c>
      <c r="D56" s="17"/>
      <c r="E56" s="24" t="str">
        <f>IFERROR(VLOOKUP(D56,'Goals Data'!$A$8:$B$11,2,0),"")</f>
        <v/>
      </c>
    </row>
    <row r="57" spans="1:5" ht="19.05" customHeight="1">
      <c r="A57" s="102"/>
      <c r="B57" s="108" t="s">
        <v>83</v>
      </c>
      <c r="C57" s="59" t="s">
        <v>185</v>
      </c>
      <c r="D57" s="17"/>
      <c r="E57" s="24" t="str">
        <f>IFERROR(VLOOKUP(D57,'Goals Data'!$A$8:$B$11,2,0),"")</f>
        <v/>
      </c>
    </row>
    <row r="58" spans="1:5" ht="19.05" customHeight="1">
      <c r="A58" s="102"/>
      <c r="B58" s="108"/>
      <c r="C58" s="55" t="s">
        <v>186</v>
      </c>
      <c r="D58" s="17"/>
      <c r="E58" s="24" t="str">
        <f>IFERROR(VLOOKUP(D58,'Goals Data'!$A$8:$B$11,2,0),"")</f>
        <v/>
      </c>
    </row>
    <row r="59" spans="1:5" ht="19.05" customHeight="1">
      <c r="A59" s="102"/>
      <c r="B59" s="108"/>
      <c r="C59" s="59" t="s">
        <v>187</v>
      </c>
      <c r="D59" s="17"/>
      <c r="E59" s="24" t="str">
        <f>IFERROR(VLOOKUP(D59,'Goals Data'!$A$8:$B$11,2,0),"")</f>
        <v/>
      </c>
    </row>
    <row r="60" spans="1:5" ht="19.05" customHeight="1">
      <c r="A60" s="102"/>
      <c r="B60" s="108"/>
      <c r="C60" s="55" t="s">
        <v>84</v>
      </c>
      <c r="D60" s="17"/>
      <c r="E60" s="24" t="str">
        <f>IFERROR(VLOOKUP(D60,'Goals Data'!$A$8:$B$11,2,0),"")</f>
        <v/>
      </c>
    </row>
    <row r="61" spans="1:5" ht="19.05" customHeight="1">
      <c r="A61" s="102"/>
      <c r="B61" s="108"/>
      <c r="C61" s="59" t="s">
        <v>85</v>
      </c>
      <c r="D61" s="17"/>
      <c r="E61" s="24" t="str">
        <f>IFERROR(VLOOKUP(D61,'Goals Data'!$A$8:$B$11,2,0),"")</f>
        <v/>
      </c>
    </row>
    <row r="62" spans="1:5" ht="19.05" customHeight="1">
      <c r="A62" s="102"/>
      <c r="B62" s="108"/>
      <c r="C62" s="55" t="s">
        <v>86</v>
      </c>
      <c r="D62" s="17"/>
      <c r="E62" s="24" t="str">
        <f>IFERROR(VLOOKUP(D62,'Goals Data'!$A$8:$B$11,2,0),"")</f>
        <v/>
      </c>
    </row>
    <row r="63" spans="1:5" ht="19.05" customHeight="1">
      <c r="A63" s="102"/>
      <c r="B63" s="108"/>
      <c r="C63" s="59" t="s">
        <v>87</v>
      </c>
      <c r="D63" s="17"/>
      <c r="E63" s="24" t="str">
        <f>IFERROR(VLOOKUP(D63,'Goals Data'!$A$8:$B$11,2,0),"")</f>
        <v/>
      </c>
    </row>
    <row r="64" spans="1:5" ht="19.05" customHeight="1" thickBot="1">
      <c r="A64" s="102"/>
      <c r="B64" s="108"/>
      <c r="C64" s="56" t="s">
        <v>88</v>
      </c>
      <c r="D64" s="17"/>
      <c r="E64" s="24" t="str">
        <f>IFERROR(VLOOKUP(D64,'Goals Data'!$A$8:$B$11,2,0),"")</f>
        <v/>
      </c>
    </row>
    <row r="65" spans="1:5" ht="19.05" customHeight="1">
      <c r="A65" s="102"/>
      <c r="B65" s="104" t="s">
        <v>89</v>
      </c>
      <c r="C65" s="57" t="s">
        <v>90</v>
      </c>
      <c r="D65" s="17"/>
      <c r="E65" s="24" t="str">
        <f>IFERROR(VLOOKUP(D65,'Goals Data'!$A$8:$B$11,2,0),"")</f>
        <v/>
      </c>
    </row>
    <row r="66" spans="1:5" ht="19.05" customHeight="1">
      <c r="A66" s="102"/>
      <c r="B66" s="106"/>
      <c r="C66" s="55" t="s">
        <v>91</v>
      </c>
      <c r="D66" s="17"/>
      <c r="E66" s="24" t="str">
        <f>IFERROR(VLOOKUP(D66,'Goals Data'!$A$8:$B$11,2,0),"")</f>
        <v/>
      </c>
    </row>
    <row r="67" spans="1:5" ht="19.05" customHeight="1">
      <c r="A67" s="102"/>
      <c r="B67" s="106"/>
      <c r="C67" s="59" t="s">
        <v>92</v>
      </c>
      <c r="D67" s="17"/>
      <c r="E67" s="24" t="str">
        <f>IFERROR(VLOOKUP(D67,'Goals Data'!$A$8:$B$11,2,0),"")</f>
        <v/>
      </c>
    </row>
    <row r="68" spans="1:5" ht="19.05" customHeight="1">
      <c r="A68" s="102"/>
      <c r="B68" s="106"/>
      <c r="C68" s="55" t="s">
        <v>93</v>
      </c>
      <c r="D68" s="17"/>
      <c r="E68" s="24" t="str">
        <f>IFERROR(VLOOKUP(D68,'Goals Data'!$A$8:$B$11,2,0),"")</f>
        <v/>
      </c>
    </row>
    <row r="69" spans="1:5" ht="19.05" customHeight="1">
      <c r="A69" s="102"/>
      <c r="B69" s="106"/>
      <c r="C69" s="59" t="s">
        <v>94</v>
      </c>
      <c r="D69" s="17"/>
      <c r="E69" s="24" t="str">
        <f>IFERROR(VLOOKUP(D69,'Goals Data'!$A$8:$B$11,2,0),"")</f>
        <v/>
      </c>
    </row>
    <row r="70" spans="1:5" ht="19.05" customHeight="1">
      <c r="A70" s="102"/>
      <c r="B70" s="106"/>
      <c r="C70" s="55" t="s">
        <v>95</v>
      </c>
      <c r="D70" s="17"/>
      <c r="E70" s="24" t="str">
        <f>IFERROR(VLOOKUP(D70,'Goals Data'!$A$8:$B$11,2,0),"")</f>
        <v/>
      </c>
    </row>
    <row r="71" spans="1:5" ht="19.05" customHeight="1">
      <c r="A71" s="102"/>
      <c r="B71" s="106"/>
      <c r="C71" s="59" t="s">
        <v>96</v>
      </c>
      <c r="D71" s="17"/>
      <c r="E71" s="24" t="str">
        <f>IFERROR(VLOOKUP(D71,'Goals Data'!$A$8:$B$11,2,0),"")</f>
        <v/>
      </c>
    </row>
    <row r="72" spans="1:5" ht="19.05" customHeight="1">
      <c r="A72" s="102"/>
      <c r="B72" s="106"/>
      <c r="C72" s="55" t="s">
        <v>97</v>
      </c>
      <c r="D72" s="17"/>
      <c r="E72" s="24" t="str">
        <f>IFERROR(VLOOKUP(D72,'Goals Data'!$A$8:$B$11,2,0),"")</f>
        <v/>
      </c>
    </row>
    <row r="73" spans="1:5" ht="19.05" customHeight="1">
      <c r="A73" s="102"/>
      <c r="B73" s="106"/>
      <c r="C73" s="59" t="s">
        <v>98</v>
      </c>
      <c r="D73" s="17"/>
      <c r="E73" s="24" t="str">
        <f>IFERROR(VLOOKUP(D73,'Goals Data'!$A$8:$B$11,2,0),"")</f>
        <v/>
      </c>
    </row>
    <row r="74" spans="1:5" ht="19.05" customHeight="1">
      <c r="A74" s="102"/>
      <c r="B74" s="106"/>
      <c r="C74" s="55" t="s">
        <v>99</v>
      </c>
      <c r="D74" s="17"/>
      <c r="E74" s="24" t="str">
        <f>IFERROR(VLOOKUP(D74,'Goals Data'!$A$8:$B$11,2,0),"")</f>
        <v/>
      </c>
    </row>
    <row r="75" spans="1:5" ht="19.05" customHeight="1">
      <c r="A75" s="102"/>
      <c r="B75" s="105"/>
      <c r="C75" s="59" t="s">
        <v>100</v>
      </c>
      <c r="D75" s="17"/>
      <c r="E75" s="24" t="str">
        <f>IFERROR(VLOOKUP(D75,'Goals Data'!$A$8:$B$11,2,0),"")</f>
        <v/>
      </c>
    </row>
    <row r="76" spans="1:5" ht="19.05" customHeight="1">
      <c r="A76" s="102"/>
      <c r="B76" s="104" t="s">
        <v>101</v>
      </c>
      <c r="C76" s="55" t="s">
        <v>102</v>
      </c>
      <c r="D76" s="17"/>
      <c r="E76" s="24" t="str">
        <f>IFERROR(VLOOKUP(D76,'Goals Data'!$A$8:$B$11,2,0),"")</f>
        <v/>
      </c>
    </row>
    <row r="77" spans="1:5" ht="19.05" customHeight="1">
      <c r="A77" s="102"/>
      <c r="B77" s="106"/>
      <c r="C77" s="59" t="s">
        <v>103</v>
      </c>
      <c r="D77" s="17"/>
      <c r="E77" s="24" t="str">
        <f>IFERROR(VLOOKUP(D77,'Goals Data'!$A$8:$B$11,2,0),"")</f>
        <v/>
      </c>
    </row>
    <row r="78" spans="1:5" ht="19.05" customHeight="1">
      <c r="A78" s="102"/>
      <c r="B78" s="106"/>
      <c r="C78" s="55" t="s">
        <v>104</v>
      </c>
      <c r="D78" s="17"/>
      <c r="E78" s="24" t="str">
        <f>IFERROR(VLOOKUP(D78,'Goals Data'!$A$8:$B$11,2,0),"")</f>
        <v/>
      </c>
    </row>
    <row r="79" spans="1:5" ht="19.05" customHeight="1">
      <c r="A79" s="102"/>
      <c r="B79" s="105"/>
      <c r="C79" s="59" t="s">
        <v>105</v>
      </c>
      <c r="D79" s="17"/>
      <c r="E79" s="24" t="str">
        <f>IFERROR(VLOOKUP(D79,'Goals Data'!$A$8:$B$11,2,0),"")</f>
        <v/>
      </c>
    </row>
    <row r="80" spans="1:5" ht="19.05" customHeight="1">
      <c r="A80" s="102"/>
      <c r="B80" s="104" t="s">
        <v>106</v>
      </c>
      <c r="C80" s="59" t="s">
        <v>107</v>
      </c>
      <c r="D80" s="17"/>
      <c r="E80" s="24" t="str">
        <f>IFERROR(VLOOKUP(D80,'Goals Data'!$A$8:$B$11,2,0),"")</f>
        <v/>
      </c>
    </row>
    <row r="81" spans="1:5" ht="19.05" customHeight="1">
      <c r="A81" s="102"/>
      <c r="B81" s="106"/>
      <c r="C81" s="55" t="s">
        <v>108</v>
      </c>
      <c r="D81" s="17"/>
      <c r="E81" s="24" t="str">
        <f>IFERROR(VLOOKUP(D81,'Goals Data'!$A$8:$B$11,2,0),"")</f>
        <v/>
      </c>
    </row>
    <row r="82" spans="1:5" ht="19.05" customHeight="1">
      <c r="A82" s="102"/>
      <c r="B82" s="106"/>
      <c r="C82" s="59" t="s">
        <v>109</v>
      </c>
      <c r="D82" s="17"/>
      <c r="E82" s="24" t="str">
        <f>IFERROR(VLOOKUP(D82,'Goals Data'!$A$8:$B$11,2,0),"")</f>
        <v/>
      </c>
    </row>
    <row r="83" spans="1:5" ht="19.05" customHeight="1">
      <c r="A83" s="102"/>
      <c r="B83" s="106"/>
      <c r="C83" s="55" t="s">
        <v>110</v>
      </c>
      <c r="D83" s="17"/>
      <c r="E83" s="24" t="str">
        <f>IFERROR(VLOOKUP(D83,'Goals Data'!$A$8:$B$11,2,0),"")</f>
        <v/>
      </c>
    </row>
    <row r="84" spans="1:5" ht="19.05" customHeight="1">
      <c r="A84" s="102"/>
      <c r="B84" s="106"/>
      <c r="C84" s="59" t="s">
        <v>111</v>
      </c>
      <c r="D84" s="17"/>
      <c r="E84" s="24" t="str">
        <f>IFERROR(VLOOKUP(D84,'Goals Data'!$A$8:$B$11,2,0),"")</f>
        <v/>
      </c>
    </row>
    <row r="85" spans="1:5" ht="19.05" customHeight="1">
      <c r="A85" s="102"/>
      <c r="B85" s="106"/>
      <c r="C85" s="55" t="s">
        <v>112</v>
      </c>
      <c r="D85" s="17"/>
      <c r="E85" s="24" t="str">
        <f>IFERROR(VLOOKUP(D85,'Goals Data'!$A$8:$B$11,2,0),"")</f>
        <v/>
      </c>
    </row>
    <row r="86" spans="1:5" ht="19.05" customHeight="1">
      <c r="A86" s="102"/>
      <c r="B86" s="106"/>
      <c r="C86" s="59" t="s">
        <v>113</v>
      </c>
      <c r="D86" s="17"/>
      <c r="E86" s="24" t="str">
        <f>IFERROR(VLOOKUP(D86,'Goals Data'!$A$8:$B$11,2,0),"")</f>
        <v/>
      </c>
    </row>
    <row r="87" spans="1:5" ht="19.05" customHeight="1">
      <c r="A87" s="102"/>
      <c r="B87" s="106"/>
      <c r="C87" s="55" t="s">
        <v>114</v>
      </c>
      <c r="D87" s="17"/>
      <c r="E87" s="24" t="str">
        <f>IFERROR(VLOOKUP(D87,'Goals Data'!$A$8:$B$11,2,0),"")</f>
        <v/>
      </c>
    </row>
    <row r="88" spans="1:5" ht="19.05" customHeight="1" thickBot="1">
      <c r="A88" s="103"/>
      <c r="B88" s="107"/>
      <c r="C88" s="62" t="s">
        <v>115</v>
      </c>
      <c r="D88" s="20"/>
      <c r="E88" s="24" t="str">
        <f>IFERROR(VLOOKUP(D88,'Goals Data'!$A$8:$B$11,2,0),"")</f>
        <v/>
      </c>
    </row>
    <row r="89" spans="1:5" ht="19.05" customHeight="1">
      <c r="A89" s="114" t="s">
        <v>116</v>
      </c>
      <c r="B89" s="115" t="s">
        <v>117</v>
      </c>
      <c r="C89" s="61" t="s">
        <v>118</v>
      </c>
      <c r="D89" s="19"/>
      <c r="E89" s="24" t="str">
        <f>IFERROR(VLOOKUP(D89,'Goals Data'!$A$8:$B$11,2,0),"")</f>
        <v/>
      </c>
    </row>
    <row r="90" spans="1:5" ht="19.05" customHeight="1">
      <c r="A90" s="99"/>
      <c r="B90" s="106"/>
      <c r="C90" s="59" t="s">
        <v>119</v>
      </c>
      <c r="D90" s="17"/>
      <c r="E90" s="24" t="str">
        <f>IFERROR(VLOOKUP(D90,'Goals Data'!$A$8:$B$11,2,0),"")</f>
        <v/>
      </c>
    </row>
    <row r="91" spans="1:5" ht="21" customHeight="1">
      <c r="A91" s="99"/>
      <c r="B91" s="106"/>
      <c r="C91" s="55" t="s">
        <v>120</v>
      </c>
      <c r="D91" s="17"/>
      <c r="E91" s="24" t="str">
        <f>IFERROR(VLOOKUP(D91,'Goals Data'!$A$8:$B$11,2,0),"")</f>
        <v/>
      </c>
    </row>
    <row r="92" spans="1:5" ht="19.05" customHeight="1">
      <c r="A92" s="99"/>
      <c r="B92" s="105"/>
      <c r="C92" s="59" t="s">
        <v>121</v>
      </c>
      <c r="D92" s="17"/>
      <c r="E92" s="24" t="str">
        <f>IFERROR(VLOOKUP(D92,'Goals Data'!$A$8:$B$11,2,0),"")</f>
        <v/>
      </c>
    </row>
    <row r="93" spans="1:5" ht="19.05" customHeight="1">
      <c r="A93" s="99"/>
      <c r="B93" s="104" t="s">
        <v>122</v>
      </c>
      <c r="C93" s="55" t="s">
        <v>188</v>
      </c>
      <c r="D93" s="17"/>
      <c r="E93" s="24" t="str">
        <f>IFERROR(VLOOKUP(D93,'Goals Data'!$A$8:$B$11,2,0),"")</f>
        <v/>
      </c>
    </row>
    <row r="94" spans="1:5" ht="19.05" customHeight="1">
      <c r="A94" s="99"/>
      <c r="B94" s="106"/>
      <c r="C94" s="59" t="s">
        <v>123</v>
      </c>
      <c r="D94" s="17"/>
      <c r="E94" s="24" t="str">
        <f>IFERROR(VLOOKUP(D94,'Goals Data'!$A$8:$B$11,2,0),"")</f>
        <v/>
      </c>
    </row>
    <row r="95" spans="1:5" ht="19.05" customHeight="1">
      <c r="A95" s="99"/>
      <c r="B95" s="105"/>
      <c r="C95" s="55" t="s">
        <v>124</v>
      </c>
      <c r="D95" s="17"/>
      <c r="E95" s="24" t="str">
        <f>IFERROR(VLOOKUP(D95,'Goals Data'!$A$8:$B$11,2,0),"")</f>
        <v/>
      </c>
    </row>
    <row r="96" spans="1:5" ht="19.05" customHeight="1">
      <c r="A96" s="99"/>
      <c r="B96" s="104" t="s">
        <v>125</v>
      </c>
      <c r="C96" s="59" t="s">
        <v>126</v>
      </c>
      <c r="D96" s="17"/>
      <c r="E96" s="24" t="str">
        <f>IFERROR(VLOOKUP(D96,'Goals Data'!$A$8:$B$11,2,0),"")</f>
        <v/>
      </c>
    </row>
    <row r="97" spans="1:5" ht="19.05" customHeight="1">
      <c r="A97" s="99"/>
      <c r="B97" s="106"/>
      <c r="C97" s="55" t="s">
        <v>127</v>
      </c>
      <c r="D97" s="17"/>
      <c r="E97" s="24" t="str">
        <f>IFERROR(VLOOKUP(D97,'Goals Data'!$A$8:$B$11,2,0),"")</f>
        <v/>
      </c>
    </row>
    <row r="98" spans="1:5" ht="19.05" customHeight="1">
      <c r="A98" s="99"/>
      <c r="B98" s="106"/>
      <c r="C98" s="59" t="s">
        <v>128</v>
      </c>
      <c r="D98" s="17"/>
      <c r="E98" s="24" t="str">
        <f>IFERROR(VLOOKUP(D98,'Goals Data'!$A$8:$B$11,2,0),"")</f>
        <v/>
      </c>
    </row>
    <row r="99" spans="1:5" ht="19.05" customHeight="1">
      <c r="A99" s="99"/>
      <c r="B99" s="106"/>
      <c r="C99" s="55" t="s">
        <v>129</v>
      </c>
      <c r="D99" s="17"/>
      <c r="E99" s="24" t="str">
        <f>IFERROR(VLOOKUP(D99,'Goals Data'!$A$8:$B$11,2,0),"")</f>
        <v/>
      </c>
    </row>
    <row r="100" spans="1:5" ht="19.05" customHeight="1">
      <c r="A100" s="99"/>
      <c r="B100" s="106"/>
      <c r="C100" s="59" t="s">
        <v>130</v>
      </c>
      <c r="D100" s="17"/>
      <c r="E100" s="24" t="str">
        <f>IFERROR(VLOOKUP(D100,'Goals Data'!$A$8:$B$11,2,0),"")</f>
        <v/>
      </c>
    </row>
    <row r="101" spans="1:5" ht="19.05" customHeight="1">
      <c r="A101" s="99"/>
      <c r="B101" s="106"/>
      <c r="C101" s="55" t="s">
        <v>131</v>
      </c>
      <c r="D101" s="17"/>
      <c r="E101" s="24" t="str">
        <f>IFERROR(VLOOKUP(D101,'Goals Data'!$A$8:$B$11,2,0),"")</f>
        <v/>
      </c>
    </row>
    <row r="102" spans="1:5" ht="19.05" customHeight="1" thickBot="1">
      <c r="A102" s="100"/>
      <c r="B102" s="107"/>
      <c r="C102" s="64" t="s">
        <v>132</v>
      </c>
      <c r="D102" s="20"/>
      <c r="E102" s="24" t="str">
        <f>IFERROR(VLOOKUP(D102,'Goals Data'!$A$8:$B$11,2,0),"")</f>
        <v/>
      </c>
    </row>
    <row r="103" spans="1:5" ht="19.05" customHeight="1">
      <c r="A103" s="110" t="s">
        <v>189</v>
      </c>
      <c r="B103" s="111" t="s">
        <v>190</v>
      </c>
      <c r="C103" s="65" t="s">
        <v>191</v>
      </c>
      <c r="D103" s="19"/>
      <c r="E103" s="24" t="str">
        <f>IFERROR(VLOOKUP(D103,'Goals Data'!$A$8:$B$11,2,0),"")</f>
        <v/>
      </c>
    </row>
    <row r="104" spans="1:5" ht="19.05" customHeight="1">
      <c r="A104" s="99"/>
      <c r="B104" s="112"/>
      <c r="C104" s="66" t="s">
        <v>192</v>
      </c>
      <c r="D104" s="17"/>
      <c r="E104" s="24" t="str">
        <f>IFERROR(VLOOKUP(D104,'Goals Data'!$A$8:$B$11,2,0),"")</f>
        <v/>
      </c>
    </row>
    <row r="105" spans="1:5" ht="20" customHeight="1">
      <c r="A105" s="99"/>
      <c r="B105" s="112"/>
      <c r="C105" s="67" t="s">
        <v>193</v>
      </c>
      <c r="D105" s="17"/>
      <c r="E105" s="24" t="str">
        <f>IFERROR(VLOOKUP(D105,'Goals Data'!$A$8:$B$11,2,0),"")</f>
        <v/>
      </c>
    </row>
    <row r="106" spans="1:5" ht="18">
      <c r="A106" s="99"/>
      <c r="B106" s="112"/>
      <c r="C106" s="66" t="s">
        <v>194</v>
      </c>
      <c r="D106" s="17"/>
      <c r="E106" s="24" t="str">
        <f>IFERROR(VLOOKUP(D106,'Goals Data'!$A$8:$B$11,2,0),"")</f>
        <v/>
      </c>
    </row>
    <row r="107" spans="1:5" ht="18">
      <c r="A107" s="99"/>
      <c r="B107" s="112"/>
      <c r="C107" s="67" t="s">
        <v>195</v>
      </c>
      <c r="D107" s="17"/>
      <c r="E107" s="24" t="str">
        <f>IFERROR(VLOOKUP(D107,'Goals Data'!$A$8:$B$11,2,0),"")</f>
        <v/>
      </c>
    </row>
    <row r="108" spans="1:5" ht="18">
      <c r="A108" s="99"/>
      <c r="B108" s="112"/>
      <c r="C108" s="66" t="s">
        <v>196</v>
      </c>
      <c r="D108" s="17"/>
      <c r="E108" s="24" t="str">
        <f>IFERROR(VLOOKUP(D108,'Goals Data'!$A$8:$B$11,2,0),"")</f>
        <v/>
      </c>
    </row>
    <row r="109" spans="1:5" ht="18">
      <c r="A109" s="99"/>
      <c r="B109" s="112"/>
      <c r="C109" s="67" t="s">
        <v>197</v>
      </c>
      <c r="D109" s="17"/>
      <c r="E109" s="24" t="str">
        <f>IFERROR(VLOOKUP(D109,'Goals Data'!$A$8:$B$11,2,0),"")</f>
        <v/>
      </c>
    </row>
    <row r="110" spans="1:5" ht="18">
      <c r="A110" s="99"/>
      <c r="B110" s="112"/>
      <c r="C110" s="66" t="s">
        <v>198</v>
      </c>
      <c r="D110" s="17"/>
      <c r="E110" s="24" t="str">
        <f>IFERROR(VLOOKUP(D110,'Goals Data'!$A$8:$B$11,2,0),"")</f>
        <v/>
      </c>
    </row>
    <row r="111" spans="1:5" ht="18">
      <c r="A111" s="99"/>
      <c r="B111" s="112"/>
      <c r="C111" s="67" t="s">
        <v>199</v>
      </c>
      <c r="D111" s="17"/>
      <c r="E111" s="24" t="str">
        <f>IFERROR(VLOOKUP(D111,'Goals Data'!$A$8:$B$11,2,0),"")</f>
        <v/>
      </c>
    </row>
    <row r="112" spans="1:5" ht="18">
      <c r="A112" s="99"/>
      <c r="B112" s="112"/>
      <c r="C112" s="66" t="s">
        <v>45</v>
      </c>
      <c r="D112" s="17"/>
      <c r="E112" s="24" t="str">
        <f>IFERROR(VLOOKUP(D112,'Goals Data'!$A$8:$B$11,2,0),"")</f>
        <v/>
      </c>
    </row>
    <row r="113" spans="1:5" ht="18">
      <c r="A113" s="99"/>
      <c r="B113" s="112"/>
      <c r="C113" s="67" t="s">
        <v>46</v>
      </c>
      <c r="D113" s="17"/>
      <c r="E113" s="24" t="str">
        <f>IFERROR(VLOOKUP(D113,'Goals Data'!$A$8:$B$11,2,0),"")</f>
        <v/>
      </c>
    </row>
    <row r="114" spans="1:5" ht="18.399999999999999" thickBot="1">
      <c r="A114" s="100"/>
      <c r="B114" s="113"/>
      <c r="C114" s="60" t="s">
        <v>47</v>
      </c>
      <c r="D114" s="20"/>
      <c r="E114" s="24" t="str">
        <f>IFERROR(VLOOKUP(D114,'Goals Data'!$A$8:$B$11,2,0),"")</f>
        <v/>
      </c>
    </row>
  </sheetData>
  <mergeCells count="25">
    <mergeCell ref="A103:A114"/>
    <mergeCell ref="B103:B114"/>
    <mergeCell ref="B76:B79"/>
    <mergeCell ref="B80:B88"/>
    <mergeCell ref="A89:A102"/>
    <mergeCell ref="B89:B92"/>
    <mergeCell ref="B93:B95"/>
    <mergeCell ref="B96:B102"/>
    <mergeCell ref="A39:A88"/>
    <mergeCell ref="B39:B43"/>
    <mergeCell ref="B44:B48"/>
    <mergeCell ref="B49:B51"/>
    <mergeCell ref="B52:B56"/>
    <mergeCell ref="B57:B64"/>
    <mergeCell ref="B65:B75"/>
    <mergeCell ref="A2:A4"/>
    <mergeCell ref="A5:A13"/>
    <mergeCell ref="B6:B7"/>
    <mergeCell ref="B9:B13"/>
    <mergeCell ref="A14:A38"/>
    <mergeCell ref="B14:B20"/>
    <mergeCell ref="B21:B22"/>
    <mergeCell ref="B24:B26"/>
    <mergeCell ref="B27:B28"/>
    <mergeCell ref="B29:B38"/>
  </mergeCells>
  <conditionalFormatting sqref="D2:D1048576">
    <cfRule type="containsText" dxfId="2" priority="1" stopIfTrue="1" operator="containsText" text="High">
      <formula>NOT(ISERROR(SEARCH("High",D2)))</formula>
    </cfRule>
    <cfRule type="containsText" dxfId="1" priority="2" stopIfTrue="1" operator="containsText" text="Low">
      <formula>NOT(ISERROR(SEARCH("Low",D2)))</formula>
    </cfRule>
    <cfRule type="containsText" dxfId="0" priority="3" stopIfTrue="1" operator="containsText" text="Medium">
      <formula>NOT(ISERROR(SEARCH("Medium",D2)))</formula>
    </cfRule>
  </conditionalFormatting>
  <dataValidations count="1">
    <dataValidation type="list" allowBlank="1" showInputMessage="1" showErrorMessage="1" sqref="D2:D105" xr:uid="{5ED0408B-A31A-CA4A-8ACD-1612987F2B48}">
      <formula1>"Low, Medium, High"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5307-B5BE-C549-97C7-715D5077ECD9}">
  <dimension ref="A1:R81"/>
  <sheetViews>
    <sheetView zoomScale="110" zoomScaleNormal="110" workbookViewId="0">
      <selection activeCell="E14" sqref="E14"/>
    </sheetView>
  </sheetViews>
  <sheetFormatPr defaultColWidth="10.8125" defaultRowHeight="15.75"/>
  <cols>
    <col min="1" max="1" width="28.1875" style="21" customWidth="1"/>
    <col min="2" max="5" width="17.1875" style="4" customWidth="1"/>
    <col min="6" max="6" width="17.6875" style="4" customWidth="1"/>
    <col min="7" max="13" width="10.8125" style="4"/>
    <col min="14" max="14" width="15.3125" style="4" customWidth="1"/>
    <col min="15" max="15" width="12.8125" style="4" customWidth="1"/>
    <col min="16" max="16" width="10.8125" style="4"/>
    <col min="17" max="17" width="22.8125" style="4" customWidth="1"/>
    <col min="18" max="16384" width="10.8125" style="4"/>
  </cols>
  <sheetData>
    <row r="1" spans="1:18">
      <c r="A1" s="27" t="s">
        <v>0</v>
      </c>
      <c r="B1" s="28" t="s">
        <v>2</v>
      </c>
      <c r="C1" s="28" t="s">
        <v>6</v>
      </c>
      <c r="D1" s="28" t="s">
        <v>200</v>
      </c>
      <c r="E1" s="28" t="s">
        <v>157</v>
      </c>
      <c r="F1" s="28" t="s">
        <v>7</v>
      </c>
      <c r="N1" s="25" t="s">
        <v>158</v>
      </c>
      <c r="O1" s="26" t="s">
        <v>157</v>
      </c>
      <c r="Q1" s="73"/>
      <c r="R1" s="73"/>
    </row>
    <row r="2" spans="1:18">
      <c r="A2" s="21">
        <v>45521</v>
      </c>
      <c r="B2" s="4">
        <v>5</v>
      </c>
      <c r="C2" s="4">
        <f>IF(B2="","",SUM($B$2:B2))</f>
        <v>5</v>
      </c>
      <c r="D2" s="4">
        <f>WEEKDAY(A2,2)</f>
        <v>6</v>
      </c>
      <c r="E2" s="4" t="str">
        <f>IF(B2="","",VLOOKUP(D2,$N$1:$O$8,2,0))</f>
        <v>Saturday</v>
      </c>
      <c r="F2" s="4">
        <f>'Goals Data'!$B$3</f>
        <v>150</v>
      </c>
      <c r="N2" s="22">
        <v>1</v>
      </c>
      <c r="O2" s="23" t="s">
        <v>159</v>
      </c>
      <c r="Q2" s="21"/>
    </row>
    <row r="3" spans="1:18">
      <c r="A3" s="21">
        <v>45522</v>
      </c>
      <c r="B3" s="4">
        <v>5</v>
      </c>
      <c r="C3" s="4">
        <f>SUM($B$2:B3)</f>
        <v>10</v>
      </c>
      <c r="D3" s="4">
        <f t="shared" ref="D3:D59" si="0">WEEKDAY(A3,2)</f>
        <v>7</v>
      </c>
      <c r="E3" s="4" t="str">
        <f t="shared" ref="E3:E16" si="1">IF(B3="","",VLOOKUP(D3,$N$1:$O$8,2,0))</f>
        <v>Sunday</v>
      </c>
      <c r="F3" s="4">
        <f>'Goals Data'!$B$3</f>
        <v>150</v>
      </c>
      <c r="N3" s="22">
        <v>2</v>
      </c>
      <c r="O3" s="23" t="s">
        <v>160</v>
      </c>
      <c r="Q3" s="21"/>
    </row>
    <row r="4" spans="1:18">
      <c r="A4" s="21">
        <v>45523</v>
      </c>
      <c r="B4" s="4">
        <v>2</v>
      </c>
      <c r="C4" s="4">
        <f>SUM($B$2:B4)</f>
        <v>12</v>
      </c>
      <c r="D4" s="4">
        <f t="shared" si="0"/>
        <v>1</v>
      </c>
      <c r="E4" s="4" t="str">
        <f t="shared" si="1"/>
        <v>Monday</v>
      </c>
      <c r="F4" s="4">
        <f>'Goals Data'!$B$3</f>
        <v>150</v>
      </c>
      <c r="N4" s="22">
        <v>3</v>
      </c>
      <c r="O4" s="23" t="s">
        <v>161</v>
      </c>
      <c r="Q4" s="21"/>
    </row>
    <row r="5" spans="1:18">
      <c r="A5" s="21">
        <v>45524</v>
      </c>
      <c r="B5" s="4">
        <v>2</v>
      </c>
      <c r="C5" s="4">
        <f>SUM($B$2:B5)</f>
        <v>14</v>
      </c>
      <c r="D5" s="4">
        <f t="shared" si="0"/>
        <v>2</v>
      </c>
      <c r="E5" s="4" t="str">
        <f t="shared" si="1"/>
        <v>Tuesday</v>
      </c>
      <c r="F5" s="4">
        <f>'Goals Data'!$B$3</f>
        <v>150</v>
      </c>
      <c r="N5" s="22">
        <v>4</v>
      </c>
      <c r="O5" s="23" t="s">
        <v>162</v>
      </c>
      <c r="Q5" s="21"/>
    </row>
    <row r="6" spans="1:18">
      <c r="A6" s="21">
        <v>45525</v>
      </c>
      <c r="B6" s="4">
        <v>2</v>
      </c>
      <c r="C6" s="4">
        <f>SUM($B$2:B6)</f>
        <v>16</v>
      </c>
      <c r="D6" s="4">
        <f t="shared" si="0"/>
        <v>3</v>
      </c>
      <c r="E6" s="4" t="str">
        <f t="shared" si="1"/>
        <v>Wednesday</v>
      </c>
      <c r="F6" s="4">
        <f>'Goals Data'!$B$3</f>
        <v>150</v>
      </c>
      <c r="N6" s="22">
        <v>5</v>
      </c>
      <c r="O6" s="23" t="s">
        <v>163</v>
      </c>
      <c r="Q6" s="21"/>
    </row>
    <row r="7" spans="1:18">
      <c r="A7" s="21">
        <v>45526</v>
      </c>
      <c r="B7" s="4">
        <v>2</v>
      </c>
      <c r="C7" s="4">
        <f>SUM($B$2:B7)</f>
        <v>18</v>
      </c>
      <c r="D7" s="4">
        <f t="shared" si="0"/>
        <v>4</v>
      </c>
      <c r="E7" s="4" t="str">
        <f t="shared" si="1"/>
        <v>Thursday</v>
      </c>
      <c r="F7" s="4">
        <f>'Goals Data'!$B$3</f>
        <v>150</v>
      </c>
      <c r="N7" s="22">
        <v>6</v>
      </c>
      <c r="O7" s="23" t="s">
        <v>164</v>
      </c>
      <c r="Q7" s="21"/>
    </row>
    <row r="8" spans="1:18">
      <c r="A8" s="21">
        <v>45527</v>
      </c>
      <c r="B8" s="4">
        <v>2</v>
      </c>
      <c r="C8" s="4">
        <f>SUM($B$2:B8)</f>
        <v>20</v>
      </c>
      <c r="D8" s="4">
        <f t="shared" si="0"/>
        <v>5</v>
      </c>
      <c r="E8" s="4" t="str">
        <f t="shared" si="1"/>
        <v>Friday</v>
      </c>
      <c r="F8" s="4">
        <f>'Goals Data'!$B$3</f>
        <v>150</v>
      </c>
      <c r="N8" s="24">
        <v>7</v>
      </c>
      <c r="O8" s="9" t="s">
        <v>165</v>
      </c>
      <c r="Q8" s="21"/>
    </row>
    <row r="9" spans="1:18">
      <c r="A9" s="21">
        <v>45528</v>
      </c>
      <c r="B9" s="4">
        <v>5</v>
      </c>
      <c r="C9" s="4">
        <f>SUM($B$2:B9)</f>
        <v>25</v>
      </c>
      <c r="D9" s="4">
        <f t="shared" si="0"/>
        <v>6</v>
      </c>
      <c r="E9" s="4" t="str">
        <f t="shared" si="1"/>
        <v>Saturday</v>
      </c>
      <c r="F9" s="4">
        <f>'Goals Data'!$B$3</f>
        <v>150</v>
      </c>
    </row>
    <row r="10" spans="1:18">
      <c r="A10" s="21">
        <v>45529</v>
      </c>
      <c r="B10" s="4">
        <v>5</v>
      </c>
      <c r="C10" s="4">
        <f>SUM($B$2:B10)</f>
        <v>30</v>
      </c>
      <c r="D10" s="4">
        <f t="shared" si="0"/>
        <v>7</v>
      </c>
      <c r="E10" s="4" t="str">
        <f>IF(B10="","",VLOOKUP(D10,$N$1:$O$8,2,0))</f>
        <v>Sunday</v>
      </c>
      <c r="F10" s="4">
        <f>'Goals Data'!$B$3</f>
        <v>150</v>
      </c>
    </row>
    <row r="11" spans="1:18">
      <c r="A11" s="21">
        <v>45530</v>
      </c>
      <c r="D11" s="4">
        <f t="shared" si="0"/>
        <v>1</v>
      </c>
      <c r="E11" s="4" t="str">
        <f t="shared" si="1"/>
        <v/>
      </c>
      <c r="F11" s="4">
        <f>'Goals Data'!$B$3</f>
        <v>150</v>
      </c>
    </row>
    <row r="12" spans="1:18">
      <c r="A12" s="21">
        <v>45531</v>
      </c>
      <c r="D12" s="4">
        <f t="shared" si="0"/>
        <v>2</v>
      </c>
      <c r="E12" s="4" t="str">
        <f t="shared" si="1"/>
        <v/>
      </c>
      <c r="F12" s="4">
        <f>'Goals Data'!$B$3</f>
        <v>150</v>
      </c>
    </row>
    <row r="13" spans="1:18">
      <c r="A13" s="21">
        <v>45532</v>
      </c>
      <c r="D13" s="4">
        <f t="shared" si="0"/>
        <v>3</v>
      </c>
      <c r="E13" s="4" t="str">
        <f t="shared" si="1"/>
        <v/>
      </c>
      <c r="F13" s="4">
        <f>'Goals Data'!$B$3</f>
        <v>150</v>
      </c>
    </row>
    <row r="14" spans="1:18">
      <c r="A14" s="21">
        <v>45533</v>
      </c>
      <c r="D14" s="4">
        <f t="shared" si="0"/>
        <v>4</v>
      </c>
      <c r="E14" s="4" t="str">
        <f t="shared" si="1"/>
        <v/>
      </c>
      <c r="F14" s="4">
        <f>'Goals Data'!$B$3</f>
        <v>150</v>
      </c>
      <c r="Q14" s="53"/>
    </row>
    <row r="15" spans="1:18">
      <c r="A15" s="21">
        <v>45534</v>
      </c>
      <c r="D15" s="4">
        <f t="shared" si="0"/>
        <v>5</v>
      </c>
      <c r="E15" s="4" t="str">
        <f t="shared" si="1"/>
        <v/>
      </c>
      <c r="F15" s="4">
        <f>'Goals Data'!$B$3</f>
        <v>150</v>
      </c>
    </row>
    <row r="16" spans="1:18">
      <c r="A16" s="21">
        <v>45535</v>
      </c>
      <c r="D16" s="4">
        <f t="shared" si="0"/>
        <v>6</v>
      </c>
      <c r="E16" s="4" t="str">
        <f t="shared" si="1"/>
        <v/>
      </c>
      <c r="F16" s="4">
        <f>'Goals Data'!$B$3</f>
        <v>150</v>
      </c>
      <c r="Q16" s="54"/>
    </row>
    <row r="17" spans="1:6">
      <c r="A17" s="21">
        <v>45536</v>
      </c>
      <c r="D17" s="4">
        <f t="shared" si="0"/>
        <v>7</v>
      </c>
      <c r="E17" s="4" t="str">
        <f>IF(B17="","",VLOOKUP(D17,$N$1:$O$8,2,0))</f>
        <v/>
      </c>
      <c r="F17" s="4">
        <f>'Goals Data'!$B$3</f>
        <v>150</v>
      </c>
    </row>
    <row r="18" spans="1:6">
      <c r="A18" s="21">
        <v>45537</v>
      </c>
      <c r="D18" s="4">
        <f t="shared" si="0"/>
        <v>1</v>
      </c>
      <c r="E18" s="4" t="str">
        <f>VLOOKUP(D18,$N$1:$O$8,2,0)</f>
        <v>Monday</v>
      </c>
      <c r="F18" s="4">
        <f>'Goals Data'!$B$3</f>
        <v>150</v>
      </c>
    </row>
    <row r="19" spans="1:6">
      <c r="A19" s="21">
        <v>45538</v>
      </c>
      <c r="D19" s="4">
        <f t="shared" si="0"/>
        <v>2</v>
      </c>
      <c r="E19" s="4" t="str">
        <f t="shared" ref="E19:E59" si="2">IF(B19="","",VLOOKUP(D19,$N$1:$O$8,2,0))</f>
        <v/>
      </c>
      <c r="F19" s="4">
        <f>'Goals Data'!$B$3</f>
        <v>150</v>
      </c>
    </row>
    <row r="20" spans="1:6">
      <c r="A20" s="21">
        <v>45539</v>
      </c>
      <c r="D20" s="4">
        <f t="shared" si="0"/>
        <v>3</v>
      </c>
      <c r="E20" s="4" t="str">
        <f t="shared" si="2"/>
        <v/>
      </c>
      <c r="F20" s="4">
        <f>'Goals Data'!$B$3</f>
        <v>150</v>
      </c>
    </row>
    <row r="21" spans="1:6">
      <c r="A21" s="21">
        <v>45540</v>
      </c>
      <c r="D21" s="4">
        <f t="shared" si="0"/>
        <v>4</v>
      </c>
      <c r="E21" s="4" t="str">
        <f t="shared" si="2"/>
        <v/>
      </c>
      <c r="F21" s="4">
        <f>'Goals Data'!$B$3</f>
        <v>150</v>
      </c>
    </row>
    <row r="22" spans="1:6">
      <c r="A22" s="21">
        <v>45541</v>
      </c>
      <c r="D22" s="4">
        <f t="shared" si="0"/>
        <v>5</v>
      </c>
      <c r="E22" s="4" t="str">
        <f t="shared" si="2"/>
        <v/>
      </c>
      <c r="F22" s="4">
        <f>'Goals Data'!$B$3</f>
        <v>150</v>
      </c>
    </row>
    <row r="23" spans="1:6">
      <c r="A23" s="21">
        <v>45542</v>
      </c>
      <c r="D23" s="4">
        <f t="shared" si="0"/>
        <v>6</v>
      </c>
      <c r="E23" s="4" t="str">
        <f t="shared" si="2"/>
        <v/>
      </c>
      <c r="F23" s="4">
        <f>'Goals Data'!$B$3</f>
        <v>150</v>
      </c>
    </row>
    <row r="24" spans="1:6">
      <c r="A24" s="21">
        <v>45543</v>
      </c>
      <c r="D24" s="4">
        <f t="shared" si="0"/>
        <v>7</v>
      </c>
      <c r="E24" s="4" t="str">
        <f t="shared" si="2"/>
        <v/>
      </c>
      <c r="F24" s="4">
        <f>'Goals Data'!$B$3</f>
        <v>150</v>
      </c>
    </row>
    <row r="25" spans="1:6">
      <c r="A25" s="21">
        <v>45544</v>
      </c>
      <c r="D25" s="4">
        <f t="shared" si="0"/>
        <v>1</v>
      </c>
      <c r="E25" s="4" t="str">
        <f t="shared" si="2"/>
        <v/>
      </c>
      <c r="F25" s="4">
        <f>'Goals Data'!$B$3</f>
        <v>150</v>
      </c>
    </row>
    <row r="26" spans="1:6">
      <c r="A26" s="21">
        <v>45545</v>
      </c>
      <c r="D26" s="4">
        <f t="shared" si="0"/>
        <v>2</v>
      </c>
      <c r="E26" s="4" t="str">
        <f t="shared" si="2"/>
        <v/>
      </c>
      <c r="F26" s="4">
        <f>'Goals Data'!$B$3</f>
        <v>150</v>
      </c>
    </row>
    <row r="27" spans="1:6">
      <c r="A27" s="21">
        <v>45546</v>
      </c>
      <c r="D27" s="4">
        <f t="shared" si="0"/>
        <v>3</v>
      </c>
      <c r="E27" s="4" t="str">
        <f t="shared" si="2"/>
        <v/>
      </c>
      <c r="F27" s="4">
        <f>'Goals Data'!$B$3</f>
        <v>150</v>
      </c>
    </row>
    <row r="28" spans="1:6">
      <c r="A28" s="21">
        <v>45547</v>
      </c>
      <c r="D28" s="4">
        <f t="shared" si="0"/>
        <v>4</v>
      </c>
      <c r="E28" s="4" t="str">
        <f t="shared" si="2"/>
        <v/>
      </c>
      <c r="F28" s="4">
        <f>'Goals Data'!$B$3</f>
        <v>150</v>
      </c>
    </row>
    <row r="29" spans="1:6">
      <c r="A29" s="21">
        <v>45548</v>
      </c>
      <c r="D29" s="4">
        <f t="shared" si="0"/>
        <v>5</v>
      </c>
      <c r="E29" s="4" t="str">
        <f t="shared" si="2"/>
        <v/>
      </c>
      <c r="F29" s="4">
        <f>'Goals Data'!$B$3</f>
        <v>150</v>
      </c>
    </row>
    <row r="30" spans="1:6">
      <c r="A30" s="21">
        <v>45549</v>
      </c>
      <c r="D30" s="4">
        <f t="shared" si="0"/>
        <v>6</v>
      </c>
      <c r="E30" s="4" t="str">
        <f t="shared" si="2"/>
        <v/>
      </c>
      <c r="F30" s="4">
        <f>'Goals Data'!$B$3</f>
        <v>150</v>
      </c>
    </row>
    <row r="31" spans="1:6">
      <c r="A31" s="21">
        <v>45550</v>
      </c>
      <c r="D31" s="4">
        <f t="shared" si="0"/>
        <v>7</v>
      </c>
      <c r="E31" s="4" t="str">
        <f t="shared" si="2"/>
        <v/>
      </c>
      <c r="F31" s="4">
        <f>'Goals Data'!$B$3</f>
        <v>150</v>
      </c>
    </row>
    <row r="32" spans="1:6">
      <c r="A32" s="21">
        <v>45551</v>
      </c>
      <c r="D32" s="4">
        <f t="shared" si="0"/>
        <v>1</v>
      </c>
      <c r="E32" s="4" t="str">
        <f t="shared" si="2"/>
        <v/>
      </c>
      <c r="F32" s="4">
        <f>'Goals Data'!$B$3</f>
        <v>150</v>
      </c>
    </row>
    <row r="33" spans="1:6">
      <c r="A33" s="21">
        <v>45552</v>
      </c>
      <c r="D33" s="4">
        <f t="shared" si="0"/>
        <v>2</v>
      </c>
      <c r="E33" s="4" t="str">
        <f t="shared" si="2"/>
        <v/>
      </c>
      <c r="F33" s="4">
        <f>'Goals Data'!$B$3</f>
        <v>150</v>
      </c>
    </row>
    <row r="34" spans="1:6">
      <c r="A34" s="21">
        <v>45553</v>
      </c>
      <c r="D34" s="4">
        <f t="shared" si="0"/>
        <v>3</v>
      </c>
      <c r="E34" s="4" t="str">
        <f t="shared" si="2"/>
        <v/>
      </c>
      <c r="F34" s="4">
        <f>'Goals Data'!$B$3</f>
        <v>150</v>
      </c>
    </row>
    <row r="35" spans="1:6">
      <c r="A35" s="21">
        <v>45554</v>
      </c>
      <c r="D35" s="4">
        <f t="shared" si="0"/>
        <v>4</v>
      </c>
      <c r="E35" s="4" t="str">
        <f t="shared" si="2"/>
        <v/>
      </c>
      <c r="F35" s="4">
        <f>'Goals Data'!$B$3</f>
        <v>150</v>
      </c>
    </row>
    <row r="36" spans="1:6">
      <c r="A36" s="21">
        <v>45555</v>
      </c>
      <c r="D36" s="4">
        <f t="shared" si="0"/>
        <v>5</v>
      </c>
      <c r="E36" s="4" t="str">
        <f t="shared" si="2"/>
        <v/>
      </c>
      <c r="F36" s="4">
        <f>'Goals Data'!$B$3</f>
        <v>150</v>
      </c>
    </row>
    <row r="37" spans="1:6">
      <c r="A37" s="21">
        <v>45556</v>
      </c>
      <c r="D37" s="4">
        <f t="shared" si="0"/>
        <v>6</v>
      </c>
      <c r="E37" s="4" t="str">
        <f t="shared" si="2"/>
        <v/>
      </c>
      <c r="F37" s="4">
        <f>'Goals Data'!$B$3</f>
        <v>150</v>
      </c>
    </row>
    <row r="38" spans="1:6">
      <c r="A38" s="21">
        <v>45557</v>
      </c>
      <c r="D38" s="4">
        <f t="shared" si="0"/>
        <v>7</v>
      </c>
      <c r="E38" s="4" t="str">
        <f t="shared" si="2"/>
        <v/>
      </c>
      <c r="F38" s="4">
        <f>'Goals Data'!$B$3</f>
        <v>150</v>
      </c>
    </row>
    <row r="39" spans="1:6">
      <c r="A39" s="21">
        <v>45558</v>
      </c>
      <c r="D39" s="4">
        <f t="shared" si="0"/>
        <v>1</v>
      </c>
      <c r="E39" s="4" t="str">
        <f t="shared" si="2"/>
        <v/>
      </c>
      <c r="F39" s="4">
        <f>'Goals Data'!$B$3</f>
        <v>150</v>
      </c>
    </row>
    <row r="40" spans="1:6">
      <c r="A40" s="21">
        <v>45559</v>
      </c>
      <c r="D40" s="4">
        <f t="shared" si="0"/>
        <v>2</v>
      </c>
      <c r="E40" s="4" t="str">
        <f t="shared" si="2"/>
        <v/>
      </c>
      <c r="F40" s="4">
        <f>'Goals Data'!$B$3</f>
        <v>150</v>
      </c>
    </row>
    <row r="41" spans="1:6">
      <c r="A41" s="21">
        <v>45560</v>
      </c>
      <c r="D41" s="4">
        <f t="shared" si="0"/>
        <v>3</v>
      </c>
      <c r="E41" s="4" t="str">
        <f t="shared" si="2"/>
        <v/>
      </c>
      <c r="F41" s="4">
        <f>'Goals Data'!$B$3</f>
        <v>150</v>
      </c>
    </row>
    <row r="42" spans="1:6">
      <c r="A42" s="21">
        <v>45561</v>
      </c>
      <c r="D42" s="4">
        <f t="shared" si="0"/>
        <v>4</v>
      </c>
      <c r="E42" s="4" t="str">
        <f t="shared" si="2"/>
        <v/>
      </c>
      <c r="F42" s="4">
        <f>'Goals Data'!$B$3</f>
        <v>150</v>
      </c>
    </row>
    <row r="43" spans="1:6">
      <c r="A43" s="21">
        <v>45562</v>
      </c>
      <c r="D43" s="4">
        <f t="shared" si="0"/>
        <v>5</v>
      </c>
      <c r="E43" s="4" t="str">
        <f t="shared" si="2"/>
        <v/>
      </c>
      <c r="F43" s="4">
        <f>'Goals Data'!$B$3</f>
        <v>150</v>
      </c>
    </row>
    <row r="44" spans="1:6">
      <c r="A44" s="21">
        <v>45563</v>
      </c>
      <c r="D44" s="4">
        <f t="shared" si="0"/>
        <v>6</v>
      </c>
      <c r="E44" s="4" t="str">
        <f t="shared" si="2"/>
        <v/>
      </c>
      <c r="F44" s="4">
        <f>'Goals Data'!$B$3</f>
        <v>150</v>
      </c>
    </row>
    <row r="45" spans="1:6">
      <c r="A45" s="21">
        <v>45564</v>
      </c>
      <c r="D45" s="4">
        <f t="shared" si="0"/>
        <v>7</v>
      </c>
      <c r="E45" s="4" t="str">
        <f t="shared" si="2"/>
        <v/>
      </c>
      <c r="F45" s="4">
        <f>'Goals Data'!$B$3</f>
        <v>150</v>
      </c>
    </row>
    <row r="46" spans="1:6">
      <c r="A46" s="21">
        <v>45565</v>
      </c>
      <c r="D46" s="4">
        <f t="shared" si="0"/>
        <v>1</v>
      </c>
      <c r="E46" s="4" t="str">
        <f t="shared" si="2"/>
        <v/>
      </c>
      <c r="F46" s="4">
        <f>'Goals Data'!$B$3</f>
        <v>150</v>
      </c>
    </row>
    <row r="47" spans="1:6">
      <c r="A47" s="21">
        <v>45566</v>
      </c>
      <c r="D47" s="4">
        <f t="shared" si="0"/>
        <v>2</v>
      </c>
      <c r="E47" s="4" t="str">
        <f t="shared" si="2"/>
        <v/>
      </c>
      <c r="F47" s="4">
        <f>'Goals Data'!$B$3</f>
        <v>150</v>
      </c>
    </row>
    <row r="48" spans="1:6">
      <c r="A48" s="21">
        <v>45567</v>
      </c>
      <c r="D48" s="4">
        <f t="shared" si="0"/>
        <v>3</v>
      </c>
      <c r="E48" s="4" t="str">
        <f t="shared" si="2"/>
        <v/>
      </c>
      <c r="F48" s="4">
        <f>'Goals Data'!$B$3</f>
        <v>150</v>
      </c>
    </row>
    <row r="49" spans="1:6">
      <c r="A49" s="21">
        <v>45568</v>
      </c>
      <c r="D49" s="4">
        <f t="shared" si="0"/>
        <v>4</v>
      </c>
      <c r="E49" s="4" t="str">
        <f t="shared" si="2"/>
        <v/>
      </c>
      <c r="F49" s="4">
        <f>'Goals Data'!$B$3</f>
        <v>150</v>
      </c>
    </row>
    <row r="50" spans="1:6">
      <c r="A50" s="21">
        <v>45569</v>
      </c>
      <c r="D50" s="4">
        <f t="shared" si="0"/>
        <v>5</v>
      </c>
      <c r="E50" s="4" t="str">
        <f t="shared" si="2"/>
        <v/>
      </c>
      <c r="F50" s="4">
        <f>'Goals Data'!$B$3</f>
        <v>150</v>
      </c>
    </row>
    <row r="51" spans="1:6">
      <c r="A51" s="21">
        <v>45570</v>
      </c>
      <c r="D51" s="4">
        <f t="shared" si="0"/>
        <v>6</v>
      </c>
      <c r="E51" s="4" t="str">
        <f t="shared" si="2"/>
        <v/>
      </c>
      <c r="F51" s="4">
        <f>'Goals Data'!$B$3</f>
        <v>150</v>
      </c>
    </row>
    <row r="52" spans="1:6">
      <c r="A52" s="21">
        <v>45571</v>
      </c>
      <c r="D52" s="4">
        <f t="shared" si="0"/>
        <v>7</v>
      </c>
      <c r="E52" s="4" t="str">
        <f t="shared" si="2"/>
        <v/>
      </c>
      <c r="F52" s="4">
        <f>'Goals Data'!$B$3</f>
        <v>150</v>
      </c>
    </row>
    <row r="53" spans="1:6">
      <c r="A53" s="21">
        <v>45572</v>
      </c>
      <c r="D53" s="4">
        <f t="shared" si="0"/>
        <v>1</v>
      </c>
      <c r="E53" s="4" t="str">
        <f t="shared" si="2"/>
        <v/>
      </c>
      <c r="F53" s="4">
        <f>'Goals Data'!$B$3</f>
        <v>150</v>
      </c>
    </row>
    <row r="54" spans="1:6">
      <c r="A54" s="21">
        <v>45573</v>
      </c>
      <c r="D54" s="4">
        <f t="shared" si="0"/>
        <v>2</v>
      </c>
      <c r="E54" s="4" t="str">
        <f t="shared" si="2"/>
        <v/>
      </c>
      <c r="F54" s="4">
        <f>'Goals Data'!$B$3</f>
        <v>150</v>
      </c>
    </row>
    <row r="55" spans="1:6">
      <c r="A55" s="21">
        <v>45574</v>
      </c>
      <c r="D55" s="4">
        <f t="shared" si="0"/>
        <v>3</v>
      </c>
      <c r="E55" s="4" t="str">
        <f t="shared" si="2"/>
        <v/>
      </c>
      <c r="F55" s="4">
        <f>'Goals Data'!$B$3</f>
        <v>150</v>
      </c>
    </row>
    <row r="56" spans="1:6">
      <c r="A56" s="21">
        <v>45575</v>
      </c>
      <c r="D56" s="4">
        <f t="shared" si="0"/>
        <v>4</v>
      </c>
      <c r="E56" s="4" t="str">
        <f t="shared" si="2"/>
        <v/>
      </c>
      <c r="F56" s="4">
        <f>'Goals Data'!$B$3</f>
        <v>150</v>
      </c>
    </row>
    <row r="57" spans="1:6">
      <c r="A57" s="21">
        <v>45576</v>
      </c>
      <c r="D57" s="4">
        <f t="shared" si="0"/>
        <v>5</v>
      </c>
      <c r="E57" s="4" t="str">
        <f t="shared" si="2"/>
        <v/>
      </c>
      <c r="F57" s="4">
        <f>'Goals Data'!$B$3</f>
        <v>150</v>
      </c>
    </row>
    <row r="58" spans="1:6">
      <c r="A58" s="21">
        <v>45577</v>
      </c>
      <c r="D58" s="4">
        <f t="shared" si="0"/>
        <v>6</v>
      </c>
      <c r="E58" s="4" t="str">
        <f t="shared" si="2"/>
        <v/>
      </c>
      <c r="F58" s="4">
        <f>'Goals Data'!$B$3</f>
        <v>150</v>
      </c>
    </row>
    <row r="59" spans="1:6">
      <c r="A59" s="21">
        <v>45578</v>
      </c>
      <c r="D59" s="4">
        <f t="shared" si="0"/>
        <v>7</v>
      </c>
      <c r="E59" s="4" t="str">
        <f t="shared" si="2"/>
        <v/>
      </c>
      <c r="F59" s="4">
        <f>'Goals Data'!$B$3</f>
        <v>150</v>
      </c>
    </row>
    <row r="81" spans="17:17">
      <c r="Q81" s="4">
        <v>3</v>
      </c>
    </row>
  </sheetData>
  <phoneticPr fontId="9" type="noConversion"/>
  <pageMargins left="0.7" right="0.7" top="0.75" bottom="0.75" header="0.3" footer="0.3"/>
  <ignoredErrors>
    <ignoredError sqref="C3 C4:C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Visualization</vt:lpstr>
      <vt:lpstr>Progress Summary</vt:lpstr>
      <vt:lpstr>Progress Dashboard</vt:lpstr>
      <vt:lpstr>Goals Data</vt:lpstr>
      <vt:lpstr>Excel Syllabus Data</vt:lpstr>
      <vt:lpstr>Study Hours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Soumyaj</dc:creator>
  <cp:lastModifiedBy>Aadi Soumyaj</cp:lastModifiedBy>
  <dcterms:created xsi:type="dcterms:W3CDTF">2024-03-19T15:26:04Z</dcterms:created>
  <dcterms:modified xsi:type="dcterms:W3CDTF">2024-08-17T04:14:36Z</dcterms:modified>
</cp:coreProperties>
</file>